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ABS DATA\FOMULA TAB\ADVANCE EXCEL FUNCTIONS\"/>
    </mc:Choice>
  </mc:AlternateContent>
  <xr:revisionPtr revIDLastSave="0" documentId="8_{92E984AA-7AA7-4380-A191-6C8CA7C3338F}" xr6:coauthVersionLast="47" xr6:coauthVersionMax="47" xr10:uidLastSave="{00000000-0000-0000-0000-000000000000}"/>
  <bookViews>
    <workbookView xWindow="-120" yWindow="-120" windowWidth="15600" windowHeight="11160" tabRatio="946" firstSheet="7" activeTab="1" xr2:uid="{00000000-000D-0000-FFFF-FFFF00000000}"/>
  </bookViews>
  <sheets>
    <sheet name="Technical_Review" sheetId="18" state="hidden" r:id="rId1"/>
    <sheet name="XLOOKUP" sheetId="19" r:id="rId2"/>
    <sheet name="VLOOKUP" sheetId="20" r:id="rId3"/>
    <sheet name="IF_IFOR_IFAND" sheetId="3" r:id="rId4"/>
    <sheet name="SUMIF" sheetId="5" r:id="rId5"/>
    <sheet name="OFFSET + SUM" sheetId="23" r:id="rId6"/>
    <sheet name="COUNTA" sheetId="24" r:id="rId7"/>
    <sheet name="COUNTIF" sheetId="25" r:id="rId8"/>
    <sheet name="MATCH" sheetId="26" r:id="rId9"/>
    <sheet name="INDEX_MATCH | VLOOKUP_CHOOSE" sheetId="27" r:id="rId10"/>
    <sheet name="CONCATENATE" sheetId="28" r:id="rId11"/>
    <sheet name="REPT" sheetId="29" r:id="rId12"/>
    <sheet name="TYPE" sheetId="30" r:id="rId13"/>
    <sheet name="LEFT_MID_RIGHT" sheetId="32" r:id="rId14"/>
    <sheet name="RANDBETWEEN " sheetId="35" r:id="rId15"/>
    <sheet name="CONVERT" sheetId="2" r:id="rId16"/>
    <sheet name="SUMPRODUCT" sheetId="12" r:id="rId17"/>
    <sheet name="IFERROR" sheetId="34" r:id="rId18"/>
  </sheets>
  <definedNames>
    <definedName name="_xlnm._FilterDatabase" localSheetId="6" hidden="1">COUNTA!$B$4:$B$13</definedName>
    <definedName name="_xlnm._FilterDatabase" localSheetId="3" hidden="1">IF_IFOR_IFAND!$B$4:$C$15</definedName>
    <definedName name="_xlnm._FilterDatabase" localSheetId="5" hidden="1">'OFFSET + SUM'!$B$4:$D$13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30" l="1"/>
  <c r="D5" i="30"/>
  <c r="D8" i="35"/>
  <c r="E8" i="35" s="1"/>
  <c r="D9" i="35"/>
  <c r="E9" i="35" s="1"/>
  <c r="D10" i="35"/>
  <c r="E10" i="35" s="1"/>
  <c r="D11" i="35"/>
  <c r="E11" i="35" s="1"/>
  <c r="H6" i="3" l="1"/>
  <c r="H7" i="3"/>
  <c r="H8" i="3"/>
  <c r="H9" i="3"/>
  <c r="H10" i="3"/>
  <c r="H11" i="3"/>
  <c r="H12" i="3"/>
  <c r="H13" i="3"/>
  <c r="H14" i="3"/>
  <c r="H15" i="3"/>
  <c r="H5" i="3"/>
  <c r="G6" i="3"/>
  <c r="G7" i="3"/>
  <c r="G8" i="3"/>
  <c r="G9" i="3"/>
  <c r="G10" i="3"/>
  <c r="G11" i="3"/>
  <c r="G12" i="3"/>
  <c r="G13" i="3"/>
  <c r="G14" i="3"/>
  <c r="G15" i="3"/>
  <c r="G5" i="3"/>
  <c r="F6" i="3"/>
  <c r="F7" i="3"/>
  <c r="F8" i="3"/>
  <c r="F9" i="3"/>
  <c r="F10" i="3"/>
  <c r="F11" i="3"/>
  <c r="F12" i="3"/>
  <c r="F13" i="3"/>
  <c r="F14" i="3"/>
  <c r="F15" i="3"/>
  <c r="F5" i="3"/>
  <c r="D15" i="34"/>
  <c r="D16" i="34"/>
  <c r="D17" i="34"/>
  <c r="D18" i="34"/>
  <c r="D19" i="34"/>
  <c r="D14" i="34"/>
  <c r="D6" i="34"/>
  <c r="D7" i="34"/>
  <c r="D8" i="34"/>
  <c r="D9" i="34"/>
  <c r="D10" i="34"/>
  <c r="D5" i="34"/>
  <c r="F5" i="12"/>
  <c r="D6" i="2"/>
  <c r="D7" i="2"/>
  <c r="D8" i="2"/>
  <c r="D9" i="2"/>
  <c r="D5" i="2"/>
  <c r="E7" i="32"/>
  <c r="E8" i="32"/>
  <c r="E9" i="32"/>
  <c r="E10" i="32"/>
  <c r="E11" i="32"/>
  <c r="E12" i="32"/>
  <c r="E13" i="32"/>
  <c r="E14" i="32"/>
  <c r="E15" i="32"/>
  <c r="E6" i="32"/>
  <c r="D7" i="32"/>
  <c r="D8" i="32"/>
  <c r="D9" i="32"/>
  <c r="D10" i="32"/>
  <c r="D11" i="32"/>
  <c r="D12" i="32"/>
  <c r="D13" i="32"/>
  <c r="D14" i="32"/>
  <c r="D15" i="32"/>
  <c r="D6" i="32"/>
  <c r="C7" i="32"/>
  <c r="C8" i="32"/>
  <c r="C9" i="32"/>
  <c r="C10" i="32"/>
  <c r="C11" i="32"/>
  <c r="C12" i="32"/>
  <c r="C13" i="32"/>
  <c r="C14" i="32"/>
  <c r="C15" i="32"/>
  <c r="C6" i="32"/>
  <c r="D7" i="30"/>
  <c r="D8" i="30"/>
  <c r="D6" i="29"/>
  <c r="D7" i="29"/>
  <c r="D8" i="29"/>
  <c r="D9" i="29"/>
  <c r="D10" i="29"/>
  <c r="D11" i="29"/>
  <c r="D12" i="29"/>
  <c r="D13" i="29"/>
  <c r="D14" i="29"/>
  <c r="D15" i="29"/>
  <c r="D16" i="29"/>
  <c r="D5" i="29"/>
  <c r="E6" i="28"/>
  <c r="E7" i="28"/>
  <c r="E8" i="28"/>
  <c r="E9" i="28"/>
  <c r="E10" i="28"/>
  <c r="E11" i="28"/>
  <c r="E12" i="28"/>
  <c r="E13" i="28"/>
  <c r="E14" i="28"/>
  <c r="E15" i="28"/>
  <c r="E16" i="28"/>
  <c r="E5" i="28"/>
  <c r="G12" i="27"/>
  <c r="G8" i="27"/>
  <c r="G7" i="26"/>
  <c r="I7" i="25"/>
  <c r="I8" i="25"/>
  <c r="I9" i="25"/>
  <c r="I6" i="25"/>
  <c r="F16" i="25"/>
  <c r="F15" i="25"/>
  <c r="F14" i="25"/>
  <c r="F13" i="25"/>
  <c r="F12" i="25"/>
  <c r="F11" i="25"/>
  <c r="F10" i="25"/>
  <c r="F9" i="25"/>
  <c r="F8" i="25"/>
  <c r="F7" i="25"/>
  <c r="F6" i="25"/>
  <c r="F4" i="24"/>
  <c r="H4" i="23"/>
  <c r="C19" i="23"/>
  <c r="C18" i="23"/>
  <c r="C14" i="23"/>
  <c r="C15" i="23"/>
  <c r="C16" i="23"/>
  <c r="C17" i="23"/>
  <c r="C6" i="23"/>
  <c r="C7" i="23"/>
  <c r="C8" i="23"/>
  <c r="C9" i="23"/>
  <c r="C10" i="23"/>
  <c r="C11" i="23"/>
  <c r="C12" i="23"/>
  <c r="C13" i="23"/>
  <c r="C5" i="23"/>
  <c r="F7" i="5"/>
  <c r="I6" i="5" s="1"/>
  <c r="F8" i="5"/>
  <c r="I9" i="5" s="1"/>
  <c r="F9" i="5"/>
  <c r="F10" i="5"/>
  <c r="F11" i="5"/>
  <c r="F12" i="5"/>
  <c r="F13" i="5"/>
  <c r="I7" i="5" s="1"/>
  <c r="F14" i="5"/>
  <c r="F15" i="5"/>
  <c r="F16" i="5"/>
  <c r="F6" i="5"/>
  <c r="I8" i="5" s="1"/>
  <c r="D13" i="20"/>
  <c r="E13" i="20"/>
  <c r="F13" i="20"/>
  <c r="G13" i="20"/>
  <c r="C13" i="20"/>
  <c r="D28" i="18"/>
  <c r="E28" i="18" s="1"/>
  <c r="D14" i="18" s="1"/>
  <c r="C17" i="18"/>
  <c r="C18" i="18"/>
  <c r="C19" i="18"/>
  <c r="C20" i="18"/>
  <c r="C21" i="18"/>
  <c r="C22" i="18"/>
  <c r="C23" i="18"/>
  <c r="C24" i="18"/>
  <c r="C25" i="18"/>
  <c r="C26" i="18"/>
  <c r="C27" i="18"/>
  <c r="C16" i="18"/>
  <c r="E13" i="19" a="1"/>
  <c r="E13" i="1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<sst xmlns="http://schemas.openxmlformats.org/spreadsheetml/2006/main" count="379" uniqueCount="232">
  <si>
    <t>Name</t>
  </si>
  <si>
    <t>Department</t>
  </si>
  <si>
    <t>Amit</t>
  </si>
  <si>
    <t>Product</t>
  </si>
  <si>
    <t>Qty</t>
  </si>
  <si>
    <t>Product Qty</t>
  </si>
  <si>
    <t>IT</t>
  </si>
  <si>
    <t>Marketing</t>
  </si>
  <si>
    <t>Transaction ID</t>
  </si>
  <si>
    <t>Sangita Das</t>
  </si>
  <si>
    <t>Soujanya Mallick</t>
  </si>
  <si>
    <t>Debu Kayal</t>
  </si>
  <si>
    <t>Indrajit Bhattacharjee</t>
  </si>
  <si>
    <t>Debajyoti Kundu</t>
  </si>
  <si>
    <t>Komal Shaw</t>
  </si>
  <si>
    <t>Kamal Basak</t>
  </si>
  <si>
    <t>Umesh Kumar Sah</t>
  </si>
  <si>
    <t>Subhabrata Bhor</t>
  </si>
  <si>
    <t>Partha Bhattacharya</t>
  </si>
  <si>
    <t>Krishna Kanta Gorai</t>
  </si>
  <si>
    <t>Indranil Roy</t>
  </si>
  <si>
    <t>Nibedita Das</t>
  </si>
  <si>
    <t>Surajit Maity</t>
  </si>
  <si>
    <t>Abhijit Sarkar</t>
  </si>
  <si>
    <t>Asim Nath Dubey</t>
  </si>
  <si>
    <t>Sumeet Patro</t>
  </si>
  <si>
    <t>Arupjyoti Debnath</t>
  </si>
  <si>
    <t>Sandip Paul</t>
  </si>
  <si>
    <t>Date</t>
  </si>
  <si>
    <t>Gender</t>
  </si>
  <si>
    <t>Monthly Salary</t>
  </si>
  <si>
    <t>Sumit Sharma</t>
  </si>
  <si>
    <t>Finance</t>
  </si>
  <si>
    <t>Male</t>
  </si>
  <si>
    <t>Manoj Patra</t>
  </si>
  <si>
    <t>Support</t>
  </si>
  <si>
    <t>Female</t>
  </si>
  <si>
    <t>Robert Peter</t>
  </si>
  <si>
    <t>Amit Sana</t>
  </si>
  <si>
    <t>Debasish Dey</t>
  </si>
  <si>
    <t>Atul Sharma</t>
  </si>
  <si>
    <t xml:space="preserve">Annual Salary </t>
  </si>
  <si>
    <t>No of Employee</t>
  </si>
  <si>
    <t>Annual Salary</t>
  </si>
  <si>
    <t>Calculate</t>
  </si>
  <si>
    <t>Debasis Karmakar</t>
  </si>
  <si>
    <t>Vidisha Mishra</t>
  </si>
  <si>
    <t>Kaushik Ganguly</t>
  </si>
  <si>
    <t>Dhruba Jyoti Das</t>
  </si>
  <si>
    <t>Ajit Kumar Khargaha</t>
  </si>
  <si>
    <t>Yudhisthir Sukula</t>
  </si>
  <si>
    <t>Ranjan Kumar Mallik</t>
  </si>
  <si>
    <t>Shubham Sharma</t>
  </si>
  <si>
    <t>Conditions:</t>
  </si>
  <si>
    <t>Sunita Roy</t>
  </si>
  <si>
    <t>Ajit Baidya</t>
  </si>
  <si>
    <t>Puja Singh</t>
  </si>
  <si>
    <t>Manash Pal</t>
  </si>
  <si>
    <t>Sujeta Sen</t>
  </si>
  <si>
    <t>Full Name</t>
  </si>
  <si>
    <t>Assessment - Technical</t>
  </si>
  <si>
    <t xml:space="preserve"># Technical Test </t>
  </si>
  <si>
    <t>Subject</t>
  </si>
  <si>
    <t>Remarks</t>
  </si>
  <si>
    <t>MS Excel - Level I</t>
  </si>
  <si>
    <t>Cell Ref</t>
  </si>
  <si>
    <t>Number Formatting</t>
  </si>
  <si>
    <t>Conditional Formatting</t>
  </si>
  <si>
    <t>Logical Functions</t>
  </si>
  <si>
    <t>Countif/ Countifs/ Sumif/Sumifs</t>
  </si>
  <si>
    <t xml:space="preserve">Lookup Ref </t>
  </si>
  <si>
    <t>Data Validation</t>
  </si>
  <si>
    <t>Sort and Filter</t>
  </si>
  <si>
    <t>What-If-Analysis</t>
  </si>
  <si>
    <t>Protect &amp; Print</t>
  </si>
  <si>
    <t>Note: 2 (Good), 1 (Average) , 0 (Poor)</t>
  </si>
  <si>
    <t>Remarks: Poor (&lt;50%) ; Below Average (&lt;65%) ; Average (&lt;85%) ; Good (&gt;=85%)</t>
  </si>
  <si>
    <t>Contact No</t>
  </si>
  <si>
    <t>Mail ID</t>
  </si>
  <si>
    <t>Chart</t>
  </si>
  <si>
    <t>Pivot Table &amp; Pivot Chart</t>
  </si>
  <si>
    <t># XLOOKUP (2 Way Lookup)</t>
  </si>
  <si>
    <t>Small</t>
  </si>
  <si>
    <t>Medium</t>
  </si>
  <si>
    <t>Large</t>
  </si>
  <si>
    <t>XL</t>
  </si>
  <si>
    <t>XXL</t>
  </si>
  <si>
    <t>Jeans</t>
  </si>
  <si>
    <t>Trouser</t>
  </si>
  <si>
    <t>Shirt</t>
  </si>
  <si>
    <t>Jackets</t>
  </si>
  <si>
    <t>Sweater</t>
  </si>
  <si>
    <t>Item Name</t>
  </si>
  <si>
    <t>Size</t>
  </si>
  <si>
    <t>=XLOOKUP(C12,B5:B9,XLOOKUP(C14,C4:G4,C5:G9))</t>
  </si>
  <si>
    <t># VLOOKUP</t>
  </si>
  <si>
    <t>=VLOOKUP($B13,$B$5:$G$9,COLUMN(B2),0)</t>
  </si>
  <si>
    <t>=SUMIF($C$6:$C$16,H6,$F$6:$F$16)</t>
  </si>
  <si>
    <t>Day</t>
  </si>
  <si>
    <t>Sales Qty</t>
  </si>
  <si>
    <t># SUMIF</t>
  </si>
  <si>
    <t>Total Sales Qty</t>
  </si>
  <si>
    <t>=SUM(OFFSET(D5,0,0,COUNTA(D:D)))</t>
  </si>
  <si>
    <t>Employee Name</t>
  </si>
  <si>
    <t>=COUNTA(B5:B19)</t>
  </si>
  <si>
    <t># OFFSET + SUM</t>
  </si>
  <si>
    <t># COUNTA</t>
  </si>
  <si>
    <t># COUNTIF</t>
  </si>
  <si>
    <t>=COUNTIF($C$6:$C$16,H6)</t>
  </si>
  <si>
    <t>Customer Name</t>
  </si>
  <si>
    <t>Position in a range</t>
  </si>
  <si>
    <t>Find the position of a value in a data range</t>
  </si>
  <si>
    <t>=MATCH(F7,C5:C15,0)</t>
  </si>
  <si>
    <t>Find the customer name based on the transaction ID</t>
  </si>
  <si>
    <t>=INDEX(B5:B15,MATCH(F7,C5:C15,0))</t>
  </si>
  <si>
    <t>=VLOOKUP(F12,CHOOSE({1,2},C6:C16,B6:B16),2,0)</t>
  </si>
  <si>
    <t># Reverse Lookup :  INDEX + MATCH  /  VLOOKUP + CHOOSE</t>
  </si>
  <si>
    <t>F Name</t>
  </si>
  <si>
    <t>Sangita</t>
  </si>
  <si>
    <t>Soujanya</t>
  </si>
  <si>
    <t>Debu</t>
  </si>
  <si>
    <t>Indrajit</t>
  </si>
  <si>
    <t>Debajyoti</t>
  </si>
  <si>
    <t>Komal</t>
  </si>
  <si>
    <t>Kamal</t>
  </si>
  <si>
    <t>Umesh</t>
  </si>
  <si>
    <t>Subhabrata</t>
  </si>
  <si>
    <t>Partha</t>
  </si>
  <si>
    <t>Krishna</t>
  </si>
  <si>
    <t>Indranil</t>
  </si>
  <si>
    <t>Das</t>
  </si>
  <si>
    <t>Mallick</t>
  </si>
  <si>
    <t>Kayal</t>
  </si>
  <si>
    <t>Bhattacharjee</t>
  </si>
  <si>
    <t>Kundu</t>
  </si>
  <si>
    <t>Shaw</t>
  </si>
  <si>
    <t>Basak</t>
  </si>
  <si>
    <t>Sah</t>
  </si>
  <si>
    <t>Bhor</t>
  </si>
  <si>
    <t>Bhattacharya</t>
  </si>
  <si>
    <t>Gorai</t>
  </si>
  <si>
    <t>Roy</t>
  </si>
  <si>
    <t>=CONCATENATE(B5," ",C5)</t>
  </si>
  <si>
    <t># CONCATENATE</t>
  </si>
  <si>
    <t># REPT</t>
  </si>
  <si>
    <t>Umesh Sah</t>
  </si>
  <si>
    <t>Krishna Gorai</t>
  </si>
  <si>
    <t>Employee</t>
  </si>
  <si>
    <t>Rating</t>
  </si>
  <si>
    <t>=REPT("*",C5)</t>
  </si>
  <si>
    <t>ICA</t>
  </si>
  <si>
    <t># TYPE (Return the type of the given value)</t>
  </si>
  <si>
    <t>Result</t>
  </si>
  <si>
    <t>Type</t>
  </si>
  <si>
    <t>text</t>
  </si>
  <si>
    <t>number</t>
  </si>
  <si>
    <t>error</t>
  </si>
  <si>
    <t>logical value</t>
  </si>
  <si>
    <t>19AAACB0472C1ZR</t>
  </si>
  <si>
    <t>29AACCA8464F2Z8</t>
  </si>
  <si>
    <t>12AAACC0462F1ZS</t>
  </si>
  <si>
    <t>20AABCA7375C3ZF</t>
  </si>
  <si>
    <t>16AABCB1518L1ZJ</t>
  </si>
  <si>
    <t>23AAACB1534F2Z9</t>
  </si>
  <si>
    <t>29AAACH0997E1ZP</t>
  </si>
  <si>
    <t>32AACCB0774B1Z9</t>
  </si>
  <si>
    <t>36AAACC6106G2Z8</t>
  </si>
  <si>
    <t>24AAACC7241A1ZB</t>
  </si>
  <si>
    <t>GSTIN</t>
  </si>
  <si>
    <t>State Code</t>
  </si>
  <si>
    <t>PAN</t>
  </si>
  <si>
    <t xml:space="preserve">Last 3 </t>
  </si>
  <si>
    <t>=LEFT(B6,2)</t>
  </si>
  <si>
    <t>=MID(B6,3,10)</t>
  </si>
  <si>
    <t>=RIGHT(B6,3)</t>
  </si>
  <si>
    <t xml:space="preserve"># LEFT, MID and RIGHT </t>
  </si>
  <si>
    <t># RANDBETWEEN</t>
  </si>
  <si>
    <t># CONVERT</t>
  </si>
  <si>
    <t>P001</t>
  </si>
  <si>
    <t>P002</t>
  </si>
  <si>
    <t>P003</t>
  </si>
  <si>
    <t>P004</t>
  </si>
  <si>
    <t>P005</t>
  </si>
  <si>
    <t>gr</t>
  </si>
  <si>
    <t>kg</t>
  </si>
  <si>
    <t>=CONVERT(C5,"kg","g")</t>
  </si>
  <si>
    <t>Monday</t>
  </si>
  <si>
    <t>Tuesday</t>
  </si>
  <si>
    <t>Wednesday</t>
  </si>
  <si>
    <t>Thursday</t>
  </si>
  <si>
    <t>Friday</t>
  </si>
  <si>
    <t>Saturday</t>
  </si>
  <si>
    <t>Product Rate</t>
  </si>
  <si>
    <t># SUMPRODUCT</t>
  </si>
  <si>
    <t>Total Sales</t>
  </si>
  <si>
    <t>=SUMPRODUCT(C5:C10,D5:D10)</t>
  </si>
  <si>
    <t># IFERROR</t>
  </si>
  <si>
    <t>Sales Value</t>
  </si>
  <si>
    <t>Avg. Price</t>
  </si>
  <si>
    <t>=B5/C5</t>
  </si>
  <si>
    <t>=IFERROR(B14/C14,0)</t>
  </si>
  <si>
    <t>1. If Department is Sales then output will be 10% of Salary Amount else 0</t>
  </si>
  <si>
    <t>Training</t>
  </si>
  <si>
    <t>Sales</t>
  </si>
  <si>
    <t>HR</t>
  </si>
  <si>
    <t>Admin</t>
  </si>
  <si>
    <t>HelpDesk</t>
  </si>
  <si>
    <t>EMP Name</t>
  </si>
  <si>
    <t>Dept</t>
  </si>
  <si>
    <t>Salary</t>
  </si>
  <si>
    <t>Mumbai</t>
  </si>
  <si>
    <t>Pune</t>
  </si>
  <si>
    <t>Cuttack</t>
  </si>
  <si>
    <t>Patna</t>
  </si>
  <si>
    <t>Hyderabad</t>
  </si>
  <si>
    <t>Branch</t>
  </si>
  <si>
    <t>Kolkata</t>
  </si>
  <si>
    <t>=IF(C5="Sales",E5*10%,0)</t>
  </si>
  <si>
    <t>=IF(OR(D5="Mumbai",D5="Pune"),"Yes","No")</t>
  </si>
  <si>
    <t>2. If Branch is Mumbai or Branch is Pune then output will be Yes else No</t>
  </si>
  <si>
    <t>3. If Salary is between 30000 and 35000 then output will be Yes else Blank cell</t>
  </si>
  <si>
    <t>=IF(AND(E5&gt;=30000,E5&lt;=35000),"Yes","")</t>
  </si>
  <si>
    <t># MATCH</t>
  </si>
  <si>
    <t>Total Purchase Amount</t>
  </si>
  <si>
    <t>Random Discount Percentage</t>
  </si>
  <si>
    <t>Discount Amount</t>
  </si>
  <si>
    <t>Sana</t>
  </si>
  <si>
    <t xml:space="preserve">Ajit </t>
  </si>
  <si>
    <t xml:space="preserve">Atul </t>
  </si>
  <si>
    <t>=RANDBETWEEN(5,20)</t>
  </si>
  <si>
    <t>=TYPE(C5)</t>
  </si>
  <si>
    <t># IF | IF-OR | IF-AND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</si>
</sst>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%"/>
    <numFmt numFmtId="165" formatCode="0&quot;/24&quot;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i/>
      <sz val="11"/>
      <color rgb="FFC00000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9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2A3E6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AF3FA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/>
      <diagonal/>
    </border>
    <border>
      <left/>
      <right/>
      <top style="thin">
        <color theme="8" tint="-0.24994659260841701"/>
      </top>
      <bottom/>
      <diagonal/>
    </border>
    <border>
      <left/>
      <right style="thin">
        <color theme="8" tint="-0.24994659260841701"/>
      </right>
      <top style="thin">
        <color theme="8" tint="-0.24994659260841701"/>
      </top>
      <bottom/>
      <diagonal/>
    </border>
    <border>
      <left style="thin">
        <color theme="8" tint="-0.24994659260841701"/>
      </left>
      <right/>
      <top/>
      <bottom/>
      <diagonal/>
    </border>
    <border>
      <left/>
      <right style="thin">
        <color theme="8" tint="-0.24994659260841701"/>
      </right>
      <top/>
      <bottom/>
      <diagonal/>
    </border>
    <border>
      <left/>
      <right style="thin">
        <color theme="8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medium">
        <color indexed="64"/>
      </bottom>
      <diagonal/>
    </border>
    <border>
      <left style="thin">
        <color theme="8" tint="-0.24994659260841701"/>
      </left>
      <right/>
      <top/>
      <bottom style="thin">
        <color theme="8" tint="-0.24994659260841701"/>
      </bottom>
      <diagonal/>
    </border>
    <border>
      <left/>
      <right/>
      <top/>
      <bottom style="thin">
        <color theme="8" tint="-0.24994659260841701"/>
      </bottom>
      <diagonal/>
    </border>
    <border>
      <left/>
      <right style="thin">
        <color theme="8" tint="-0.24994659260841701"/>
      </right>
      <top/>
      <bottom style="thin">
        <color theme="8" tint="-0.2499465926084170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2" fillId="0" borderId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43" fontId="0" fillId="0" borderId="1" xfId="1" applyFont="1" applyBorder="1"/>
    <xf numFmtId="0" fontId="0" fillId="0" borderId="2" xfId="0" applyBorder="1"/>
    <xf numFmtId="0" fontId="6" fillId="0" borderId="2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0" fillId="2" borderId="1" xfId="0" applyFill="1" applyBorder="1"/>
    <xf numFmtId="0" fontId="0" fillId="0" borderId="1" xfId="1" applyNumberFormat="1" applyFont="1" applyBorder="1" applyAlignment="1">
      <alignment horizontal="center"/>
    </xf>
    <xf numFmtId="43" fontId="0" fillId="0" borderId="1" xfId="1" applyFont="1" applyFill="1" applyBorder="1" applyAlignment="1">
      <alignment horizontal="right"/>
    </xf>
    <xf numFmtId="0" fontId="7" fillId="0" borderId="0" xfId="0" applyFont="1" applyAlignment="1">
      <alignment horizontal="righ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3" fontId="0" fillId="0" borderId="0" xfId="1" applyFont="1" applyBorder="1"/>
    <xf numFmtId="0" fontId="0" fillId="0" borderId="1" xfId="0" applyBorder="1" applyAlignment="1">
      <alignment vertical="center"/>
    </xf>
    <xf numFmtId="14" fontId="0" fillId="0" borderId="1" xfId="0" quotePrefix="1" applyNumberFormat="1" applyBorder="1" applyAlignment="1">
      <alignment horizontal="center" vertical="center"/>
    </xf>
    <xf numFmtId="43" fontId="0" fillId="0" borderId="0" xfId="0" applyNumberFormat="1"/>
    <xf numFmtId="2" fontId="0" fillId="0" borderId="1" xfId="0" applyNumberFormat="1" applyBorder="1" applyAlignment="1">
      <alignment horizontal="center"/>
    </xf>
    <xf numFmtId="0" fontId="0" fillId="0" borderId="0" xfId="0" applyAlignment="1">
      <alignment vertical="center"/>
    </xf>
    <xf numFmtId="0" fontId="9" fillId="4" borderId="0" xfId="0" applyFont="1" applyFill="1"/>
    <xf numFmtId="43" fontId="0" fillId="0" borderId="0" xfId="1" applyFont="1" applyAlignment="1">
      <alignment horizontal="center"/>
    </xf>
    <xf numFmtId="0" fontId="9" fillId="4" borderId="0" xfId="0" applyFont="1" applyFill="1" applyAlignment="1">
      <alignment horizontal="right"/>
    </xf>
    <xf numFmtId="0" fontId="9" fillId="4" borderId="0" xfId="0" applyFont="1" applyFill="1" applyAlignment="1">
      <alignment horizontal="center"/>
    </xf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11" fillId="0" borderId="0" xfId="0" applyFont="1"/>
    <xf numFmtId="0" fontId="1" fillId="0" borderId="3" xfId="0" applyFont="1" applyBorder="1"/>
    <xf numFmtId="0" fontId="1" fillId="6" borderId="0" xfId="0" applyFont="1" applyFill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9" xfId="0" applyFont="1" applyBorder="1"/>
    <xf numFmtId="0" fontId="14" fillId="0" borderId="3" xfId="0" applyFont="1" applyBorder="1"/>
    <xf numFmtId="0" fontId="14" fillId="0" borderId="10" xfId="0" applyFont="1" applyBorder="1"/>
    <xf numFmtId="165" fontId="1" fillId="0" borderId="11" xfId="0" applyNumberFormat="1" applyFont="1" applyBorder="1"/>
    <xf numFmtId="164" fontId="12" fillId="0" borderId="8" xfId="2" applyNumberFormat="1" applyFont="1" applyBorder="1" applyAlignment="1">
      <alignment horizontal="center"/>
    </xf>
    <xf numFmtId="0" fontId="15" fillId="0" borderId="0" xfId="0" applyFo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quotePrefix="1"/>
    <xf numFmtId="0" fontId="4" fillId="0" borderId="0" xfId="3" applyBorder="1" applyAlignment="1">
      <alignment horizontal="left"/>
    </xf>
    <xf numFmtId="0" fontId="14" fillId="0" borderId="7" xfId="0" applyFont="1" applyBorder="1"/>
    <xf numFmtId="0" fontId="16" fillId="0" borderId="0" xfId="0" applyFont="1"/>
    <xf numFmtId="0" fontId="16" fillId="3" borderId="0" xfId="0" applyFont="1" applyFill="1" applyAlignment="1">
      <alignment horizontal="right"/>
    </xf>
    <xf numFmtId="14" fontId="16" fillId="3" borderId="0" xfId="0" applyNumberFormat="1" applyFont="1" applyFill="1" applyAlignment="1">
      <alignment horizontal="center"/>
    </xf>
    <xf numFmtId="0" fontId="14" fillId="0" borderId="3" xfId="0" applyFont="1" applyBorder="1" applyAlignment="1">
      <alignment horizontal="center"/>
    </xf>
    <xf numFmtId="0" fontId="9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2" borderId="15" xfId="0" applyFill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7" fillId="0" borderId="0" xfId="0" applyFont="1"/>
    <xf numFmtId="0" fontId="0" fillId="2" borderId="17" xfId="0" applyFill="1" applyBorder="1"/>
    <xf numFmtId="0" fontId="0" fillId="0" borderId="17" xfId="0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0" xfId="0" quotePrefix="1" applyAlignment="1">
      <alignment vertical="center"/>
    </xf>
    <xf numFmtId="0" fontId="0" fillId="0" borderId="1" xfId="1" applyNumberFormat="1" applyFont="1" applyBorder="1" applyAlignment="1">
      <alignment horizontal="center" vertical="center"/>
    </xf>
    <xf numFmtId="0" fontId="9" fillId="4" borderId="0" xfId="0" applyFont="1" applyFill="1" applyAlignment="1">
      <alignment horizontal="left"/>
    </xf>
    <xf numFmtId="14" fontId="0" fillId="0" borderId="1" xfId="0" quotePrefix="1" applyNumberFormat="1" applyBorder="1" applyAlignment="1">
      <alignment horizontal="left" vertical="center"/>
    </xf>
    <xf numFmtId="0" fontId="9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8" fillId="0" borderId="0" xfId="0" quotePrefix="1" applyFont="1"/>
    <xf numFmtId="0" fontId="0" fillId="0" borderId="1" xfId="1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18" fillId="0" borderId="3" xfId="0" quotePrefix="1" applyFont="1" applyBorder="1"/>
    <xf numFmtId="0" fontId="19" fillId="0" borderId="0" xfId="0" applyFont="1" applyAlignment="1">
      <alignment horizontal="center"/>
    </xf>
    <xf numFmtId="0" fontId="9" fillId="4" borderId="0" xfId="0" applyFont="1" applyFill="1" applyAlignment="1">
      <alignment vertical="center"/>
    </xf>
    <xf numFmtId="2" fontId="0" fillId="2" borderId="1" xfId="0" applyNumberFormat="1" applyFill="1" applyBorder="1" applyAlignment="1">
      <alignment horizontal="center"/>
    </xf>
    <xf numFmtId="0" fontId="20" fillId="0" borderId="0" xfId="0" applyFont="1"/>
    <xf numFmtId="0" fontId="0" fillId="0" borderId="0" xfId="0" applyAlignment="1"/>
    <xf numFmtId="0" fontId="21" fillId="0" borderId="0" xfId="0" quotePrefix="1" applyFont="1"/>
    <xf numFmtId="0" fontId="1" fillId="0" borderId="3" xfId="0" applyFont="1" applyFill="1" applyBorder="1" applyAlignment="1">
      <alignment vertical="center"/>
    </xf>
    <xf numFmtId="0" fontId="0" fillId="2" borderId="1" xfId="1" applyNumberFormat="1" applyFont="1" applyFill="1" applyBorder="1" applyAlignment="1">
      <alignment horizontal="center"/>
    </xf>
    <xf numFmtId="0" fontId="18" fillId="0" borderId="0" xfId="0" quotePrefix="1" applyFont="1"/>
    <xf numFmtId="0" fontId="0" fillId="0" borderId="0" xfId="0"/>
    <xf numFmtId="0" fontId="18" fillId="0" borderId="0" xfId="0" quotePrefix="1" applyFont="1"/>
    <xf numFmtId="0" fontId="18" fillId="0" borderId="0" xfId="0" applyFont="1"/>
    <xf numFmtId="0" fontId="9" fillId="4" borderId="0" xfId="0" applyFont="1" applyFill="1" applyAlignment="1">
      <alignment horizontal="center" vertical="center" wrapText="1"/>
    </xf>
    <xf numFmtId="0" fontId="0" fillId="8" borderId="0" xfId="0" applyFill="1"/>
    <xf numFmtId="0" fontId="18" fillId="8" borderId="0" xfId="0" applyFont="1" applyFill="1"/>
    <xf numFmtId="0" fontId="0" fillId="8" borderId="1" xfId="0" applyFill="1" applyBorder="1" applyAlignment="1">
      <alignment horizontal="left"/>
    </xf>
    <xf numFmtId="43" fontId="0" fillId="8" borderId="1" xfId="1" applyFont="1" applyFill="1" applyBorder="1"/>
    <xf numFmtId="0" fontId="18" fillId="8" borderId="0" xfId="0" quotePrefix="1" applyFont="1" applyFill="1"/>
    <xf numFmtId="0" fontId="6" fillId="8" borderId="2" xfId="0" applyFont="1" applyFill="1" applyBorder="1"/>
    <xf numFmtId="0" fontId="0" fillId="8" borderId="2" xfId="0" applyFill="1" applyBorder="1"/>
    <xf numFmtId="0" fontId="13" fillId="5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/>
    </xf>
    <xf numFmtId="14" fontId="0" fillId="7" borderId="10" xfId="0" applyNumberFormat="1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0" borderId="0" xfId="0"/>
    <xf numFmtId="0" fontId="18" fillId="0" borderId="0" xfId="0" quotePrefix="1" applyFont="1"/>
    <xf numFmtId="0" fontId="18" fillId="0" borderId="0" xfId="0" applyFont="1"/>
  </cellXfs>
  <cellStyles count="8">
    <cellStyle name="Comma" xfId="1" builtinId="3"/>
    <cellStyle name="Hyperlink" xfId="3" builtinId="8"/>
    <cellStyle name="Hyperlink 2" xfId="6" xr:uid="{00000000-0005-0000-0000-000002000000}"/>
    <cellStyle name="Hyperlink 2 2" xfId="7" xr:uid="{00000000-0005-0000-0000-000003000000}"/>
    <cellStyle name="Normal" xfId="0" builtinId="0"/>
    <cellStyle name="Normal 2" xfId="4" xr:uid="{00000000-0005-0000-0000-000005000000}"/>
    <cellStyle name="Normal 2 2" xfId="5" xr:uid="{00000000-0005-0000-0000-000006000000}"/>
    <cellStyle name="Percent" xfId="2" builtinId="5"/>
  </cellStyles>
  <dxfs count="4">
    <dxf>
      <font>
        <color rgb="FF9C0006"/>
      </font>
    </dxf>
    <dxf>
      <font>
        <color rgb="FF00B050"/>
      </font>
    </dxf>
    <dxf>
      <font>
        <color rgb="FF0070C0"/>
      </font>
    </dxf>
    <dxf>
      <fill>
        <patternFill>
          <bgColor rgb="FFFFE5E5"/>
        </patternFill>
      </fill>
    </dxf>
  </dxfs>
  <tableStyles count="0" defaultTableStyle="TableStyleMedium2" defaultPivotStyle="PivotStyleLight16"/>
  <colors>
    <mruColors>
      <color rgb="FFEAF3FA"/>
      <color rgb="FFF5F9FD"/>
      <color rgb="FFF2F7FC"/>
      <color rgb="FFEEEEEE"/>
      <color rgb="FF0037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13</xdr:row>
      <xdr:rowOff>104775</xdr:rowOff>
    </xdr:from>
    <xdr:to>
      <xdr:col>6</xdr:col>
      <xdr:colOff>457200</xdr:colOff>
      <xdr:row>13</xdr:row>
      <xdr:rowOff>104775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B4BA0B5-BE43-77B2-DCD6-11C8E1C0A42D}"/>
            </a:ext>
          </a:extLst>
        </xdr:cNvPr>
        <xdr:cNvCxnSpPr/>
      </xdr:nvCxnSpPr>
      <xdr:spPr>
        <a:xfrm>
          <a:off x="1666875" y="2647950"/>
          <a:ext cx="300990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1104900</xdr:colOff>
      <xdr:row>4</xdr:row>
      <xdr:rowOff>104775</xdr:rowOff>
    </xdr:from>
    <xdr:to>
      <xdr:col>2</xdr:col>
      <xdr:colOff>1104900</xdr:colOff>
      <xdr:row>9</xdr:row>
      <xdr:rowOff>161925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D85F72F-458A-5938-50B2-BD4C0216364B}"/>
            </a:ext>
          </a:extLst>
        </xdr:cNvPr>
        <xdr:cNvCxnSpPr/>
      </xdr:nvCxnSpPr>
      <xdr:spPr>
        <a:xfrm>
          <a:off x="2705100" y="933450"/>
          <a:ext cx="0" cy="100965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1085850</xdr:colOff>
      <xdr:row>5</xdr:row>
      <xdr:rowOff>57150</xdr:rowOff>
    </xdr:from>
    <xdr:to>
      <xdr:col>2</xdr:col>
      <xdr:colOff>1085850</xdr:colOff>
      <xdr:row>10</xdr:row>
      <xdr:rowOff>171450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6AEE5DA1-E271-4406-AAE4-CB525339B307}"/>
            </a:ext>
          </a:extLst>
        </xdr:cNvPr>
        <xdr:cNvCxnSpPr/>
      </xdr:nvCxnSpPr>
      <xdr:spPr>
        <a:xfrm>
          <a:off x="2686050" y="885825"/>
          <a:ext cx="0" cy="10668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809625</xdr:colOff>
      <xdr:row>10</xdr:row>
      <xdr:rowOff>161925</xdr:rowOff>
    </xdr:from>
    <xdr:to>
      <xdr:col>2</xdr:col>
      <xdr:colOff>1009650</xdr:colOff>
      <xdr:row>10</xdr:row>
      <xdr:rowOff>161925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41B9B209-455D-A0EF-8E67-8AAE5AC102D0}"/>
            </a:ext>
          </a:extLst>
        </xdr:cNvPr>
        <xdr:cNvCxnSpPr/>
      </xdr:nvCxnSpPr>
      <xdr:spPr>
        <a:xfrm flipH="1">
          <a:off x="1038225" y="1943100"/>
          <a:ext cx="1571625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showGridLines="0" zoomScaleNormal="100" zoomScaleSheetLayoutView="106" workbookViewId="0">
      <selection activeCell="H2" sqref="H2"/>
    </sheetView>
  </sheetViews>
  <sheetFormatPr defaultRowHeight="15" x14ac:dyDescent="0.25"/>
  <cols>
    <col min="1" max="1" width="4" customWidth="1"/>
    <col min="2" max="2" width="30.28515625" bestFit="1" customWidth="1"/>
    <col min="3" max="3" width="32.28515625" customWidth="1"/>
    <col min="4" max="4" width="14.5703125" bestFit="1" customWidth="1"/>
  </cols>
  <sheetData>
    <row r="1" spans="1:5" x14ac:dyDescent="0.25">
      <c r="A1" s="93" t="s">
        <v>60</v>
      </c>
      <c r="B1" s="94"/>
      <c r="C1" s="94"/>
      <c r="D1" s="94"/>
      <c r="E1" s="95"/>
    </row>
    <row r="2" spans="1:5" x14ac:dyDescent="0.25">
      <c r="A2" s="96"/>
      <c r="B2" s="97"/>
      <c r="C2" s="97"/>
      <c r="D2" s="97"/>
      <c r="E2" s="98"/>
    </row>
    <row r="3" spans="1:5" x14ac:dyDescent="0.25">
      <c r="A3" s="29"/>
      <c r="E3" s="30"/>
    </row>
    <row r="4" spans="1:5" ht="18.75" x14ac:dyDescent="0.3">
      <c r="A4" s="29"/>
      <c r="B4" s="1"/>
      <c r="C4" s="31"/>
      <c r="E4" s="30"/>
    </row>
    <row r="5" spans="1:5" ht="18.75" x14ac:dyDescent="0.3">
      <c r="A5" s="29"/>
      <c r="B5" s="32" t="s">
        <v>0</v>
      </c>
      <c r="C5" s="99"/>
      <c r="D5" s="99"/>
      <c r="E5" s="30"/>
    </row>
    <row r="6" spans="1:5" x14ac:dyDescent="0.25">
      <c r="A6" s="29"/>
      <c r="B6" s="32" t="s">
        <v>77</v>
      </c>
      <c r="C6" s="100"/>
      <c r="D6" s="100"/>
      <c r="E6" s="30"/>
    </row>
    <row r="7" spans="1:5" x14ac:dyDescent="0.25">
      <c r="A7" s="29"/>
      <c r="B7" s="32" t="s">
        <v>78</v>
      </c>
      <c r="C7" s="101"/>
      <c r="D7" s="101"/>
      <c r="E7" s="30"/>
    </row>
    <row r="8" spans="1:5" x14ac:dyDescent="0.25">
      <c r="A8" s="29"/>
      <c r="C8" s="17"/>
      <c r="D8" s="17"/>
      <c r="E8" s="30"/>
    </row>
    <row r="9" spans="1:5" x14ac:dyDescent="0.25">
      <c r="A9" s="29"/>
      <c r="C9" s="46"/>
      <c r="D9" s="46"/>
      <c r="E9" s="30"/>
    </row>
    <row r="10" spans="1:5" x14ac:dyDescent="0.25">
      <c r="A10" s="29"/>
      <c r="E10" s="30"/>
    </row>
    <row r="11" spans="1:5" x14ac:dyDescent="0.25">
      <c r="A11" s="29"/>
      <c r="B11" s="33" t="s">
        <v>61</v>
      </c>
      <c r="C11" s="33"/>
      <c r="D11" s="33"/>
      <c r="E11" s="30"/>
    </row>
    <row r="12" spans="1:5" x14ac:dyDescent="0.25">
      <c r="A12" s="29"/>
      <c r="E12" s="30"/>
    </row>
    <row r="13" spans="1:5" x14ac:dyDescent="0.25">
      <c r="A13" s="29"/>
      <c r="B13" s="32" t="s">
        <v>62</v>
      </c>
      <c r="C13" s="34" t="s">
        <v>28</v>
      </c>
      <c r="D13" s="35" t="s">
        <v>63</v>
      </c>
      <c r="E13" s="36"/>
    </row>
    <row r="14" spans="1:5" x14ac:dyDescent="0.25">
      <c r="A14" s="29"/>
      <c r="B14" s="48" t="s">
        <v>64</v>
      </c>
      <c r="C14" s="50"/>
      <c r="D14" s="49" t="str">
        <f>IF(COUNT(D16:D27)=0,"",IF(E28&lt;50%,"Poor",IF(E28&lt;65%,"Below Average",IF(E28&lt;85%,"Average","Good"))))</f>
        <v/>
      </c>
      <c r="E14" s="30"/>
    </row>
    <row r="15" spans="1:5" x14ac:dyDescent="0.25">
      <c r="A15" s="29"/>
      <c r="E15" s="30"/>
    </row>
    <row r="16" spans="1:5" x14ac:dyDescent="0.25">
      <c r="A16" s="47"/>
      <c r="B16" s="37" t="s">
        <v>65</v>
      </c>
      <c r="C16" s="51" t="str">
        <f>IF(D16="","",IF(D16=0,"Poor",IF(D16=1,"Average","Good")))</f>
        <v/>
      </c>
      <c r="D16" s="37"/>
      <c r="E16" s="30"/>
    </row>
    <row r="17" spans="1:7" x14ac:dyDescent="0.25">
      <c r="A17" s="47"/>
      <c r="B17" s="38" t="s">
        <v>66</v>
      </c>
      <c r="C17" s="51" t="str">
        <f t="shared" ref="C17:C27" si="0">IF(D17="","",IF(D17=0,"Poor",IF(D17=1,"Average","Good")))</f>
        <v/>
      </c>
      <c r="D17" s="38"/>
      <c r="E17" s="30"/>
    </row>
    <row r="18" spans="1:7" x14ac:dyDescent="0.25">
      <c r="A18" s="47"/>
      <c r="B18" s="38" t="s">
        <v>67</v>
      </c>
      <c r="C18" s="51" t="str">
        <f t="shared" si="0"/>
        <v/>
      </c>
      <c r="D18" s="38"/>
      <c r="E18" s="30"/>
    </row>
    <row r="19" spans="1:7" x14ac:dyDescent="0.25">
      <c r="A19" s="47"/>
      <c r="B19" s="38" t="s">
        <v>68</v>
      </c>
      <c r="C19" s="51" t="str">
        <f t="shared" si="0"/>
        <v/>
      </c>
      <c r="D19" s="38"/>
      <c r="E19" s="30"/>
    </row>
    <row r="20" spans="1:7" x14ac:dyDescent="0.25">
      <c r="A20" s="47"/>
      <c r="B20" s="38" t="s">
        <v>69</v>
      </c>
      <c r="C20" s="51" t="str">
        <f t="shared" si="0"/>
        <v/>
      </c>
      <c r="D20" s="38"/>
      <c r="E20" s="30"/>
    </row>
    <row r="21" spans="1:7" x14ac:dyDescent="0.25">
      <c r="A21" s="47"/>
      <c r="B21" s="38" t="s">
        <v>70</v>
      </c>
      <c r="C21" s="51" t="str">
        <f t="shared" si="0"/>
        <v/>
      </c>
      <c r="D21" s="38"/>
      <c r="E21" s="30"/>
    </row>
    <row r="22" spans="1:7" x14ac:dyDescent="0.25">
      <c r="A22" s="47"/>
      <c r="B22" s="38" t="s">
        <v>71</v>
      </c>
      <c r="C22" s="51" t="str">
        <f t="shared" si="0"/>
        <v/>
      </c>
      <c r="D22" s="38"/>
      <c r="E22" s="30"/>
    </row>
    <row r="23" spans="1:7" x14ac:dyDescent="0.25">
      <c r="A23" s="47"/>
      <c r="B23" s="38" t="s">
        <v>72</v>
      </c>
      <c r="C23" s="51" t="str">
        <f t="shared" si="0"/>
        <v/>
      </c>
      <c r="D23" s="38"/>
      <c r="E23" s="30"/>
    </row>
    <row r="24" spans="1:7" x14ac:dyDescent="0.25">
      <c r="A24" s="47"/>
      <c r="B24" s="38" t="s">
        <v>79</v>
      </c>
      <c r="C24" s="51" t="str">
        <f t="shared" si="0"/>
        <v/>
      </c>
      <c r="D24" s="38"/>
      <c r="E24" s="30"/>
    </row>
    <row r="25" spans="1:7" x14ac:dyDescent="0.25">
      <c r="A25" s="47"/>
      <c r="B25" s="38" t="s">
        <v>80</v>
      </c>
      <c r="C25" s="51" t="str">
        <f t="shared" si="0"/>
        <v/>
      </c>
      <c r="D25" s="38"/>
      <c r="E25" s="30"/>
    </row>
    <row r="26" spans="1:7" x14ac:dyDescent="0.25">
      <c r="A26" s="47"/>
      <c r="B26" s="38" t="s">
        <v>73</v>
      </c>
      <c r="C26" s="51" t="str">
        <f t="shared" si="0"/>
        <v/>
      </c>
      <c r="D26" s="38"/>
      <c r="E26" s="30"/>
    </row>
    <row r="27" spans="1:7" x14ac:dyDescent="0.25">
      <c r="A27" s="47"/>
      <c r="B27" s="38" t="s">
        <v>74</v>
      </c>
      <c r="C27" s="51" t="str">
        <f t="shared" si="0"/>
        <v/>
      </c>
      <c r="D27" s="38"/>
      <c r="E27" s="30"/>
    </row>
    <row r="28" spans="1:7" ht="15.75" thickBot="1" x14ac:dyDescent="0.3">
      <c r="A28" s="29"/>
      <c r="D28" s="39">
        <f>SUM(D16:D27)</f>
        <v>0</v>
      </c>
      <c r="E28" s="40">
        <f>D28/24</f>
        <v>0</v>
      </c>
    </row>
    <row r="29" spans="1:7" x14ac:dyDescent="0.25">
      <c r="A29" s="29"/>
      <c r="E29" s="30"/>
    </row>
    <row r="30" spans="1:7" x14ac:dyDescent="0.25">
      <c r="A30" s="29"/>
      <c r="B30" s="41" t="s">
        <v>75</v>
      </c>
      <c r="E30" s="30"/>
      <c r="G30" s="45"/>
    </row>
    <row r="31" spans="1:7" x14ac:dyDescent="0.25">
      <c r="A31" s="29"/>
      <c r="B31" s="41" t="s">
        <v>76</v>
      </c>
      <c r="E31" s="30"/>
    </row>
    <row r="32" spans="1:7" x14ac:dyDescent="0.25">
      <c r="A32" s="29"/>
      <c r="E32" s="30"/>
    </row>
    <row r="33" spans="1:5" x14ac:dyDescent="0.25">
      <c r="A33" s="42"/>
      <c r="B33" s="43"/>
      <c r="C33" s="43"/>
      <c r="D33" s="43"/>
      <c r="E33" s="44"/>
    </row>
  </sheetData>
  <mergeCells count="4">
    <mergeCell ref="A1:E2"/>
    <mergeCell ref="C5:D5"/>
    <mergeCell ref="C6:D6"/>
    <mergeCell ref="C7:D7"/>
  </mergeCells>
  <conditionalFormatting sqref="B30:D32">
    <cfRule type="expression" dxfId="3" priority="4">
      <formula>$D30&lt;2</formula>
    </cfRule>
  </conditionalFormatting>
  <conditionalFormatting sqref="C16:C27">
    <cfRule type="containsText" dxfId="2" priority="1" operator="containsText" text="Good">
      <formula>NOT(ISERROR(SEARCH("Good",C16)))</formula>
    </cfRule>
    <cfRule type="containsText" dxfId="1" priority="2" operator="containsText" text="Average">
      <formula>NOT(ISERROR(SEARCH("Average",C16)))</formula>
    </cfRule>
    <cfRule type="containsText" dxfId="0" priority="3" operator="containsText" text="Poor">
      <formula>NOT(ISERROR(SEARCH("Poor",C16)))</formula>
    </cfRule>
  </conditionalFormatting>
  <dataValidations count="1">
    <dataValidation type="list" allowBlank="1" showInputMessage="1" showErrorMessage="1" sqref="D16:D27" xr:uid="{00000000-0002-0000-0000-000000000000}">
      <formula1>"0,1,2"</formula1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6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4"/>
  <sheetViews>
    <sheetView showGridLines="0" tabSelected="1" workbookViewId="0">
      <selection activeCell="B2" sqref="B2"/>
    </sheetView>
  </sheetViews>
  <sheetFormatPr defaultRowHeight="15" x14ac:dyDescent="0.25"/>
  <cols>
    <col min="1" max="1" width="3.5703125" customWidth="1"/>
    <col min="2" max="2" width="16.85546875" customWidth="1"/>
    <col min="3" max="7" width="10.7109375" customWidth="1"/>
  </cols>
  <sheetData>
    <row r="2" spans="2:7" ht="19.5" thickBot="1" x14ac:dyDescent="0.35">
      <c r="B2" s="9" t="s">
        <v>81</v>
      </c>
      <c r="C2" s="9"/>
      <c r="D2" s="9"/>
      <c r="E2" s="9"/>
      <c r="F2" s="9"/>
      <c r="G2" s="9"/>
    </row>
    <row r="3" spans="2:7" ht="15.75" thickTop="1" x14ac:dyDescent="0.25"/>
    <row r="4" spans="2:7" x14ac:dyDescent="0.25">
      <c r="B4" s="24" t="s">
        <v>3</v>
      </c>
      <c r="C4" s="52" t="s">
        <v>82</v>
      </c>
      <c r="D4" s="52" t="s">
        <v>83</v>
      </c>
      <c r="E4" s="52" t="s">
        <v>84</v>
      </c>
      <c r="F4" s="52" t="s">
        <v>85</v>
      </c>
      <c r="G4" s="52" t="s">
        <v>86</v>
      </c>
    </row>
    <row r="5" spans="2:7" x14ac:dyDescent="0.25">
      <c r="B5" s="53" t="s">
        <v>87</v>
      </c>
      <c r="C5" s="3">
        <v>18</v>
      </c>
      <c r="D5" s="3">
        <v>11</v>
      </c>
      <c r="E5" s="3">
        <v>53</v>
      </c>
      <c r="F5" s="3">
        <v>26</v>
      </c>
      <c r="G5" s="3">
        <v>24</v>
      </c>
    </row>
    <row r="6" spans="2:7" x14ac:dyDescent="0.25">
      <c r="B6" s="53" t="s">
        <v>88</v>
      </c>
      <c r="C6" s="3">
        <v>22</v>
      </c>
      <c r="D6" s="3">
        <v>14</v>
      </c>
      <c r="E6" s="3">
        <v>37</v>
      </c>
      <c r="F6" s="3">
        <v>13</v>
      </c>
      <c r="G6" s="3">
        <v>38</v>
      </c>
    </row>
    <row r="7" spans="2:7" x14ac:dyDescent="0.25">
      <c r="B7" s="53" t="s">
        <v>89</v>
      </c>
      <c r="C7" s="3">
        <v>33</v>
      </c>
      <c r="D7" s="3">
        <v>51</v>
      </c>
      <c r="E7" s="3">
        <v>52</v>
      </c>
      <c r="F7" s="3">
        <v>16</v>
      </c>
      <c r="G7" s="3">
        <v>28</v>
      </c>
    </row>
    <row r="8" spans="2:7" x14ac:dyDescent="0.25">
      <c r="B8" s="53" t="s">
        <v>90</v>
      </c>
      <c r="C8" s="3">
        <v>32</v>
      </c>
      <c r="D8" s="3">
        <v>46</v>
      </c>
      <c r="E8" s="3">
        <v>21</v>
      </c>
      <c r="F8" s="3">
        <v>9</v>
      </c>
      <c r="G8" s="3">
        <v>36</v>
      </c>
    </row>
    <row r="9" spans="2:7" x14ac:dyDescent="0.25">
      <c r="B9" s="53" t="s">
        <v>91</v>
      </c>
      <c r="C9" s="3">
        <v>19</v>
      </c>
      <c r="D9" s="3">
        <v>27</v>
      </c>
      <c r="E9" s="3">
        <v>56</v>
      </c>
      <c r="F9" s="3">
        <v>15</v>
      </c>
      <c r="G9" s="3">
        <v>30</v>
      </c>
    </row>
    <row r="12" spans="2:7" ht="15.75" thickBot="1" x14ac:dyDescent="0.3">
      <c r="B12" s="54" t="s">
        <v>92</v>
      </c>
      <c r="C12" s="55" t="s">
        <v>89</v>
      </c>
    </row>
    <row r="13" spans="2:7" ht="15.75" thickBot="1" x14ac:dyDescent="0.3">
      <c r="E13" s="56" cm="1">
        <f t="array" ref="E13">_xlfn.XLOOKUP(C12,B5:B9,_xlfn.XLOOKUP(C14,C4:G4,C5:G9))</f>
        <v>52</v>
      </c>
      <c r="F13" s="67" t="s">
        <v>94</v>
      </c>
    </row>
    <row r="14" spans="2:7" x14ac:dyDescent="0.25">
      <c r="B14" s="54" t="s">
        <v>93</v>
      </c>
      <c r="C14" s="55" t="s">
        <v>84</v>
      </c>
    </row>
  </sheetData>
  <dataValidations count="2">
    <dataValidation type="list" allowBlank="1" showInputMessage="1" showErrorMessage="1" sqref="C12" xr:uid="{00000000-0002-0000-0100-000000000000}">
      <formula1>$B$5:$B$9</formula1>
    </dataValidation>
    <dataValidation type="list" allowBlank="1" showInputMessage="1" showErrorMessage="1" sqref="C14" xr:uid="{00000000-0002-0000-0100-000001000000}">
      <formula1>$C$4:$G$4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5"/>
  <sheetViews>
    <sheetView showGridLines="0" workbookViewId="0">
      <selection activeCell="D7" sqref="D7"/>
    </sheetView>
  </sheetViews>
  <sheetFormatPr defaultRowHeight="15" x14ac:dyDescent="0.25"/>
  <cols>
    <col min="1" max="1" width="3.5703125" customWidth="1"/>
    <col min="2" max="2" width="16.85546875" customWidth="1"/>
    <col min="3" max="7" width="10.7109375" customWidth="1"/>
  </cols>
  <sheetData>
    <row r="2" spans="2:7" ht="19.5" thickBot="1" x14ac:dyDescent="0.35">
      <c r="B2" s="9" t="s">
        <v>95</v>
      </c>
      <c r="C2" s="9"/>
      <c r="D2" s="9"/>
      <c r="E2" s="9"/>
      <c r="F2" s="9"/>
      <c r="G2" s="9"/>
    </row>
    <row r="3" spans="2:7" ht="15.75" thickTop="1" x14ac:dyDescent="0.25"/>
    <row r="4" spans="2:7" x14ac:dyDescent="0.25">
      <c r="B4" s="24" t="s">
        <v>3</v>
      </c>
      <c r="C4" s="52" t="s">
        <v>82</v>
      </c>
      <c r="D4" s="52" t="s">
        <v>83</v>
      </c>
      <c r="E4" s="52" t="s">
        <v>84</v>
      </c>
      <c r="F4" s="52" t="s">
        <v>85</v>
      </c>
      <c r="G4" s="52" t="s">
        <v>86</v>
      </c>
    </row>
    <row r="5" spans="2:7" x14ac:dyDescent="0.25">
      <c r="B5" s="53" t="s">
        <v>87</v>
      </c>
      <c r="C5" s="3">
        <v>18</v>
      </c>
      <c r="D5" s="3">
        <v>11</v>
      </c>
      <c r="E5" s="3">
        <v>53</v>
      </c>
      <c r="F5" s="3">
        <v>26</v>
      </c>
      <c r="G5" s="3">
        <v>24</v>
      </c>
    </row>
    <row r="6" spans="2:7" x14ac:dyDescent="0.25">
      <c r="B6" s="53" t="s">
        <v>88</v>
      </c>
      <c r="C6" s="3">
        <v>22</v>
      </c>
      <c r="D6" s="3">
        <v>14</v>
      </c>
      <c r="E6" s="3">
        <v>37</v>
      </c>
      <c r="F6" s="3">
        <v>13</v>
      </c>
      <c r="G6" s="3">
        <v>38</v>
      </c>
    </row>
    <row r="7" spans="2:7" x14ac:dyDescent="0.25">
      <c r="B7" s="53" t="s">
        <v>89</v>
      </c>
      <c r="C7" s="3">
        <v>33</v>
      </c>
      <c r="D7" s="3">
        <v>51</v>
      </c>
      <c r="E7" s="3">
        <v>52</v>
      </c>
      <c r="F7" s="3">
        <v>16</v>
      </c>
      <c r="G7" s="3">
        <v>28</v>
      </c>
    </row>
    <row r="8" spans="2:7" x14ac:dyDescent="0.25">
      <c r="B8" s="53" t="s">
        <v>90</v>
      </c>
      <c r="C8" s="3">
        <v>32</v>
      </c>
      <c r="D8" s="3">
        <v>46</v>
      </c>
      <c r="E8" s="3">
        <v>21</v>
      </c>
      <c r="F8" s="3">
        <v>9</v>
      </c>
      <c r="G8" s="3">
        <v>36</v>
      </c>
    </row>
    <row r="9" spans="2:7" x14ac:dyDescent="0.25">
      <c r="B9" s="53" t="s">
        <v>91</v>
      </c>
      <c r="C9" s="3">
        <v>19</v>
      </c>
      <c r="D9" s="3">
        <v>27</v>
      </c>
      <c r="E9" s="3">
        <v>56</v>
      </c>
      <c r="F9" s="3">
        <v>15</v>
      </c>
      <c r="G9" s="3">
        <v>30</v>
      </c>
    </row>
    <row r="12" spans="2:7" x14ac:dyDescent="0.25">
      <c r="B12" s="24" t="s">
        <v>3</v>
      </c>
      <c r="C12" s="52" t="s">
        <v>82</v>
      </c>
      <c r="D12" s="52" t="s">
        <v>83</v>
      </c>
      <c r="E12" s="52" t="s">
        <v>84</v>
      </c>
      <c r="F12" s="52" t="s">
        <v>85</v>
      </c>
      <c r="G12" s="52" t="s">
        <v>86</v>
      </c>
    </row>
    <row r="13" spans="2:7" x14ac:dyDescent="0.25">
      <c r="B13" s="58" t="s">
        <v>89</v>
      </c>
      <c r="C13" s="59">
        <f>VLOOKUP($B13,$B$5:$G$9,COLUMN(B2),0)</f>
        <v>33</v>
      </c>
      <c r="D13" s="59">
        <f t="shared" ref="D13:G13" si="0">VLOOKUP($B13,$B$5:$G$9,COLUMN(C2),0)</f>
        <v>51</v>
      </c>
      <c r="E13" s="59">
        <f t="shared" si="0"/>
        <v>52</v>
      </c>
      <c r="F13" s="59">
        <f t="shared" si="0"/>
        <v>16</v>
      </c>
      <c r="G13" s="59">
        <f t="shared" si="0"/>
        <v>28</v>
      </c>
    </row>
    <row r="15" spans="2:7" x14ac:dyDescent="0.25">
      <c r="C15" s="81" t="s">
        <v>96</v>
      </c>
    </row>
  </sheetData>
  <dataValidations count="1">
    <dataValidation type="list" allowBlank="1" showInputMessage="1" showErrorMessage="1" sqref="B13" xr:uid="{00000000-0002-0000-0200-000000000000}">
      <formula1>$B$5:$B$9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29"/>
  <sheetViews>
    <sheetView showGridLines="0" workbookViewId="0">
      <selection activeCell="K7" sqref="K7"/>
    </sheetView>
  </sheetViews>
  <sheetFormatPr defaultRowHeight="15" x14ac:dyDescent="0.25"/>
  <cols>
    <col min="1" max="1" width="3.140625" customWidth="1"/>
    <col min="2" max="2" width="23.42578125" bestFit="1" customWidth="1"/>
    <col min="3" max="4" width="13.7109375" customWidth="1"/>
    <col min="5" max="5" width="12.42578125" customWidth="1"/>
    <col min="6" max="6" width="11.7109375" customWidth="1"/>
    <col min="7" max="8" width="10.140625" customWidth="1"/>
  </cols>
  <sheetData>
    <row r="1" spans="2:10" ht="6.75" customHeight="1" x14ac:dyDescent="0.25"/>
    <row r="2" spans="2:10" ht="19.5" thickBot="1" x14ac:dyDescent="0.35">
      <c r="B2" s="9" t="s">
        <v>231</v>
      </c>
      <c r="C2" s="8"/>
      <c r="D2" s="8"/>
      <c r="E2" s="8"/>
      <c r="F2" s="8"/>
      <c r="G2" s="8"/>
      <c r="H2" s="8"/>
      <c r="I2" s="8"/>
      <c r="J2" s="8"/>
    </row>
    <row r="3" spans="2:10" ht="15.75" thickTop="1" x14ac:dyDescent="0.25"/>
    <row r="4" spans="2:10" x14ac:dyDescent="0.25">
      <c r="B4" s="24" t="s">
        <v>207</v>
      </c>
      <c r="C4" s="24" t="s">
        <v>208</v>
      </c>
      <c r="D4" s="24" t="s">
        <v>215</v>
      </c>
      <c r="E4" s="26" t="s">
        <v>209</v>
      </c>
      <c r="F4" s="27">
        <v>1</v>
      </c>
      <c r="G4" s="27">
        <v>2</v>
      </c>
      <c r="H4" s="27">
        <v>3</v>
      </c>
    </row>
    <row r="5" spans="2:10" x14ac:dyDescent="0.25">
      <c r="B5" s="19" t="s">
        <v>45</v>
      </c>
      <c r="C5" s="19" t="s">
        <v>206</v>
      </c>
      <c r="D5" s="19" t="s">
        <v>214</v>
      </c>
      <c r="E5" s="7">
        <v>29234</v>
      </c>
      <c r="F5" s="80">
        <f t="shared" ref="F5:F15" si="0">IF(C5="Sales",E5*10%,0)</f>
        <v>0</v>
      </c>
      <c r="G5" s="80" t="str">
        <f>IF(OR(D5="Mumbai",D5="Pune"),"Yes","No")</f>
        <v>No</v>
      </c>
      <c r="H5" s="80" t="str">
        <f>IF(AND(E5&gt;=30000,E5&lt;=35000),"Yes","")</f>
        <v/>
      </c>
    </row>
    <row r="6" spans="2:10" x14ac:dyDescent="0.25">
      <c r="B6" s="19" t="s">
        <v>46</v>
      </c>
      <c r="C6" s="19" t="s">
        <v>205</v>
      </c>
      <c r="D6" s="19" t="s">
        <v>213</v>
      </c>
      <c r="E6" s="7">
        <v>34661</v>
      </c>
      <c r="F6" s="80">
        <f t="shared" si="0"/>
        <v>0</v>
      </c>
      <c r="G6" s="80" t="str">
        <f t="shared" ref="G6:G15" si="1">IF(OR(D6="Mumbai",D6="Pune"),"Yes","No")</f>
        <v>No</v>
      </c>
      <c r="H6" s="80" t="str">
        <f t="shared" ref="H6:H15" si="2">IF(AND(E6&gt;=30000,E6&lt;=35000),"Yes","")</f>
        <v>Yes</v>
      </c>
    </row>
    <row r="7" spans="2:10" x14ac:dyDescent="0.25">
      <c r="B7" s="19" t="s">
        <v>19</v>
      </c>
      <c r="C7" s="19" t="s">
        <v>204</v>
      </c>
      <c r="D7" s="19" t="s">
        <v>210</v>
      </c>
      <c r="E7" s="7">
        <v>34668</v>
      </c>
      <c r="F7" s="80">
        <f t="shared" si="0"/>
        <v>0</v>
      </c>
      <c r="G7" s="80" t="str">
        <f t="shared" si="1"/>
        <v>Yes</v>
      </c>
      <c r="H7" s="80" t="str">
        <f t="shared" si="2"/>
        <v>Yes</v>
      </c>
    </row>
    <row r="8" spans="2:10" x14ac:dyDescent="0.25">
      <c r="B8" s="19" t="s">
        <v>47</v>
      </c>
      <c r="C8" s="19" t="s">
        <v>205</v>
      </c>
      <c r="D8" s="19" t="s">
        <v>210</v>
      </c>
      <c r="E8" s="7">
        <v>45355</v>
      </c>
      <c r="F8" s="80">
        <f t="shared" si="0"/>
        <v>0</v>
      </c>
      <c r="G8" s="80" t="str">
        <f t="shared" si="1"/>
        <v>Yes</v>
      </c>
      <c r="H8" s="80" t="str">
        <f t="shared" si="2"/>
        <v/>
      </c>
    </row>
    <row r="9" spans="2:10" x14ac:dyDescent="0.25">
      <c r="B9" s="19" t="s">
        <v>12</v>
      </c>
      <c r="C9" s="19" t="s">
        <v>204</v>
      </c>
      <c r="D9" s="19" t="s">
        <v>211</v>
      </c>
      <c r="E9" s="7">
        <v>28044</v>
      </c>
      <c r="F9" s="80">
        <f t="shared" si="0"/>
        <v>0</v>
      </c>
      <c r="G9" s="80" t="str">
        <f t="shared" si="1"/>
        <v>Yes</v>
      </c>
      <c r="H9" s="80" t="str">
        <f t="shared" si="2"/>
        <v/>
      </c>
    </row>
    <row r="10" spans="2:10" x14ac:dyDescent="0.25">
      <c r="B10" s="19" t="s">
        <v>48</v>
      </c>
      <c r="C10" s="19" t="s">
        <v>202</v>
      </c>
      <c r="D10" s="19" t="s">
        <v>212</v>
      </c>
      <c r="E10" s="7">
        <v>22533</v>
      </c>
      <c r="F10" s="80">
        <f t="shared" si="0"/>
        <v>0</v>
      </c>
      <c r="G10" s="80" t="str">
        <f t="shared" si="1"/>
        <v>No</v>
      </c>
      <c r="H10" s="80" t="str">
        <f t="shared" si="2"/>
        <v/>
      </c>
    </row>
    <row r="11" spans="2:10" x14ac:dyDescent="0.25">
      <c r="B11" s="19" t="s">
        <v>11</v>
      </c>
      <c r="C11" s="19" t="s">
        <v>203</v>
      </c>
      <c r="D11" s="19" t="s">
        <v>212</v>
      </c>
      <c r="E11" s="7">
        <v>49950</v>
      </c>
      <c r="F11" s="80">
        <f t="shared" si="0"/>
        <v>4995</v>
      </c>
      <c r="G11" s="80" t="str">
        <f t="shared" si="1"/>
        <v>No</v>
      </c>
      <c r="H11" s="80" t="str">
        <f t="shared" si="2"/>
        <v/>
      </c>
    </row>
    <row r="12" spans="2:10" x14ac:dyDescent="0.25">
      <c r="B12" s="19" t="s">
        <v>49</v>
      </c>
      <c r="C12" s="19" t="s">
        <v>206</v>
      </c>
      <c r="D12" s="19" t="s">
        <v>216</v>
      </c>
      <c r="E12" s="7">
        <v>26506</v>
      </c>
      <c r="F12" s="80">
        <f t="shared" si="0"/>
        <v>0</v>
      </c>
      <c r="G12" s="80" t="str">
        <f t="shared" si="1"/>
        <v>No</v>
      </c>
      <c r="H12" s="80" t="str">
        <f t="shared" si="2"/>
        <v/>
      </c>
    </row>
    <row r="13" spans="2:10" x14ac:dyDescent="0.25">
      <c r="B13" s="19" t="s">
        <v>50</v>
      </c>
      <c r="C13" s="19" t="s">
        <v>204</v>
      </c>
      <c r="D13" s="19" t="s">
        <v>213</v>
      </c>
      <c r="E13" s="7">
        <v>26259</v>
      </c>
      <c r="F13" s="80">
        <f t="shared" si="0"/>
        <v>0</v>
      </c>
      <c r="G13" s="80" t="str">
        <f t="shared" si="1"/>
        <v>No</v>
      </c>
      <c r="H13" s="80" t="str">
        <f t="shared" si="2"/>
        <v/>
      </c>
    </row>
    <row r="14" spans="2:10" x14ac:dyDescent="0.25">
      <c r="B14" s="19" t="s">
        <v>51</v>
      </c>
      <c r="C14" s="19" t="s">
        <v>204</v>
      </c>
      <c r="D14" s="19" t="s">
        <v>212</v>
      </c>
      <c r="E14" s="7">
        <v>42712</v>
      </c>
      <c r="F14" s="80">
        <f t="shared" si="0"/>
        <v>0</v>
      </c>
      <c r="G14" s="80" t="str">
        <f t="shared" si="1"/>
        <v>No</v>
      </c>
      <c r="H14" s="80" t="str">
        <f t="shared" si="2"/>
        <v/>
      </c>
    </row>
    <row r="15" spans="2:10" x14ac:dyDescent="0.25">
      <c r="B15" s="19" t="s">
        <v>52</v>
      </c>
      <c r="C15" s="19" t="s">
        <v>205</v>
      </c>
      <c r="D15" s="19" t="s">
        <v>213</v>
      </c>
      <c r="E15" s="7">
        <v>24911</v>
      </c>
      <c r="F15" s="80">
        <f t="shared" si="0"/>
        <v>0</v>
      </c>
      <c r="G15" s="80" t="str">
        <f t="shared" si="1"/>
        <v>No</v>
      </c>
      <c r="H15" s="80" t="str">
        <f t="shared" si="2"/>
        <v/>
      </c>
    </row>
    <row r="17" spans="2:9" x14ac:dyDescent="0.25">
      <c r="B17" s="79" t="s">
        <v>53</v>
      </c>
      <c r="C17" s="28"/>
      <c r="D17" s="28"/>
      <c r="E17" s="28"/>
      <c r="F17" s="28"/>
      <c r="G17" s="28"/>
      <c r="H17" s="28"/>
      <c r="I17" s="28"/>
    </row>
    <row r="18" spans="2:9" x14ac:dyDescent="0.25">
      <c r="B18" t="s">
        <v>201</v>
      </c>
    </row>
    <row r="19" spans="2:9" x14ac:dyDescent="0.25">
      <c r="B19" s="67" t="s">
        <v>217</v>
      </c>
    </row>
    <row r="21" spans="2:9" x14ac:dyDescent="0.25">
      <c r="B21" s="77" t="s">
        <v>219</v>
      </c>
      <c r="C21" s="77"/>
    </row>
    <row r="22" spans="2:9" x14ac:dyDescent="0.25">
      <c r="B22" s="78" t="s">
        <v>218</v>
      </c>
      <c r="C22" s="76"/>
      <c r="D22" s="76"/>
    </row>
    <row r="23" spans="2:9" x14ac:dyDescent="0.25">
      <c r="B23" s="102"/>
      <c r="C23" s="102"/>
    </row>
    <row r="24" spans="2:9" x14ac:dyDescent="0.25">
      <c r="B24" s="76" t="s">
        <v>220</v>
      </c>
      <c r="C24" s="76"/>
      <c r="D24" s="76"/>
    </row>
    <row r="25" spans="2:9" x14ac:dyDescent="0.25">
      <c r="B25" s="103" t="s">
        <v>221</v>
      </c>
      <c r="C25" s="104"/>
    </row>
    <row r="26" spans="2:9" x14ac:dyDescent="0.25">
      <c r="B26" s="76"/>
      <c r="C26" s="76"/>
      <c r="D26" s="76"/>
    </row>
    <row r="27" spans="2:9" x14ac:dyDescent="0.25">
      <c r="B27" s="102"/>
      <c r="C27" s="102"/>
    </row>
    <row r="28" spans="2:9" x14ac:dyDescent="0.25">
      <c r="B28" s="76"/>
      <c r="C28" s="76"/>
      <c r="D28" s="76"/>
    </row>
    <row r="29" spans="2:9" x14ac:dyDescent="0.25">
      <c r="B29" s="76"/>
      <c r="C29" s="76"/>
      <c r="D29" s="76"/>
    </row>
  </sheetData>
  <mergeCells count="3">
    <mergeCell ref="B23:C23"/>
    <mergeCell ref="B25:C25"/>
    <mergeCell ref="B27:C2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16"/>
  <sheetViews>
    <sheetView showGridLines="0" workbookViewId="0">
      <selection activeCell="I6" sqref="I6"/>
    </sheetView>
  </sheetViews>
  <sheetFormatPr defaultRowHeight="15" x14ac:dyDescent="0.25"/>
  <cols>
    <col min="1" max="1" width="2.42578125" customWidth="1"/>
    <col min="2" max="2" width="16.5703125" customWidth="1"/>
    <col min="3" max="3" width="14.5703125" customWidth="1"/>
    <col min="4" max="4" width="11.7109375" customWidth="1"/>
    <col min="5" max="5" width="15.42578125" customWidth="1"/>
    <col min="6" max="6" width="19.28515625" customWidth="1"/>
    <col min="8" max="8" width="17.5703125" customWidth="1"/>
    <col min="9" max="9" width="16.28515625" customWidth="1"/>
    <col min="10" max="10" width="15.140625" customWidth="1"/>
  </cols>
  <sheetData>
    <row r="1" spans="2:10" x14ac:dyDescent="0.25">
      <c r="B1" s="16"/>
      <c r="C1" s="17"/>
      <c r="D1" s="17"/>
      <c r="E1" s="17"/>
      <c r="F1" s="18"/>
    </row>
    <row r="2" spans="2:10" ht="19.5" thickBot="1" x14ac:dyDescent="0.35">
      <c r="B2" s="9" t="s">
        <v>100</v>
      </c>
      <c r="C2" s="9"/>
      <c r="D2" s="9"/>
      <c r="E2" s="9"/>
      <c r="F2" s="9"/>
      <c r="G2" s="9"/>
      <c r="H2" s="9"/>
      <c r="I2" s="9"/>
      <c r="J2" s="9"/>
    </row>
    <row r="3" spans="2:10" ht="15.75" thickTop="1" x14ac:dyDescent="0.25"/>
    <row r="4" spans="2:10" x14ac:dyDescent="0.25">
      <c r="F4" s="15"/>
      <c r="I4" s="15" t="s">
        <v>44</v>
      </c>
    </row>
    <row r="5" spans="2:10" x14ac:dyDescent="0.25">
      <c r="B5" s="24" t="s">
        <v>0</v>
      </c>
      <c r="C5" s="24" t="s">
        <v>1</v>
      </c>
      <c r="D5" s="24" t="s">
        <v>29</v>
      </c>
      <c r="E5" s="24" t="s">
        <v>30</v>
      </c>
      <c r="F5" s="26" t="s">
        <v>41</v>
      </c>
      <c r="H5" s="24" t="s">
        <v>1</v>
      </c>
      <c r="I5" s="26" t="s">
        <v>43</v>
      </c>
    </row>
    <row r="6" spans="2:10" x14ac:dyDescent="0.25">
      <c r="B6" s="6" t="s">
        <v>54</v>
      </c>
      <c r="C6" s="6" t="s">
        <v>35</v>
      </c>
      <c r="D6" s="6" t="s">
        <v>36</v>
      </c>
      <c r="E6" s="7">
        <v>7300</v>
      </c>
      <c r="F6" s="7">
        <f>E6*12</f>
        <v>87600</v>
      </c>
      <c r="H6" s="4" t="s">
        <v>32</v>
      </c>
      <c r="I6" s="14">
        <f>SUMIF($C$6:$C$16,H6,$F$6:$F$16)</f>
        <v>177600</v>
      </c>
      <c r="J6" s="67" t="s">
        <v>97</v>
      </c>
    </row>
    <row r="7" spans="2:10" x14ac:dyDescent="0.25">
      <c r="B7" s="6" t="s">
        <v>38</v>
      </c>
      <c r="C7" s="6" t="s">
        <v>32</v>
      </c>
      <c r="D7" s="6" t="s">
        <v>33</v>
      </c>
      <c r="E7" s="7">
        <v>5600</v>
      </c>
      <c r="F7" s="7">
        <f t="shared" ref="F7:F16" si="0">E7*12</f>
        <v>67200</v>
      </c>
      <c r="H7" s="4" t="s">
        <v>7</v>
      </c>
      <c r="I7" s="14">
        <f t="shared" ref="I7:I9" si="1">SUMIF($C$6:$C$16,H7,$F$6:$F$16)</f>
        <v>274800</v>
      </c>
    </row>
    <row r="8" spans="2:10" x14ac:dyDescent="0.25">
      <c r="B8" s="6" t="s">
        <v>55</v>
      </c>
      <c r="C8" s="6" t="s">
        <v>6</v>
      </c>
      <c r="D8" s="6" t="s">
        <v>33</v>
      </c>
      <c r="E8" s="7">
        <v>5200</v>
      </c>
      <c r="F8" s="7">
        <f t="shared" si="0"/>
        <v>62400</v>
      </c>
      <c r="H8" s="4" t="s">
        <v>35</v>
      </c>
      <c r="I8" s="14">
        <f t="shared" si="1"/>
        <v>381600</v>
      </c>
    </row>
    <row r="9" spans="2:10" x14ac:dyDescent="0.25">
      <c r="B9" s="6" t="s">
        <v>40</v>
      </c>
      <c r="C9" s="6" t="s">
        <v>6</v>
      </c>
      <c r="D9" s="6" t="s">
        <v>33</v>
      </c>
      <c r="E9" s="7">
        <v>4200</v>
      </c>
      <c r="F9" s="7">
        <f t="shared" si="0"/>
        <v>50400</v>
      </c>
      <c r="H9" s="4" t="s">
        <v>6</v>
      </c>
      <c r="I9" s="14">
        <f t="shared" si="1"/>
        <v>112800</v>
      </c>
    </row>
    <row r="10" spans="2:10" x14ac:dyDescent="0.25">
      <c r="B10" s="6" t="s">
        <v>39</v>
      </c>
      <c r="C10" s="6" t="s">
        <v>35</v>
      </c>
      <c r="D10" s="6" t="s">
        <v>33</v>
      </c>
      <c r="E10" s="7">
        <v>12500</v>
      </c>
      <c r="F10" s="7">
        <f t="shared" si="0"/>
        <v>150000</v>
      </c>
    </row>
    <row r="11" spans="2:10" x14ac:dyDescent="0.25">
      <c r="B11" s="6" t="s">
        <v>34</v>
      </c>
      <c r="C11" s="6" t="s">
        <v>7</v>
      </c>
      <c r="D11" s="6" t="s">
        <v>33</v>
      </c>
      <c r="E11" s="7">
        <v>8700</v>
      </c>
      <c r="F11" s="7">
        <f t="shared" si="0"/>
        <v>104400</v>
      </c>
    </row>
    <row r="12" spans="2:10" x14ac:dyDescent="0.25">
      <c r="B12" s="6" t="s">
        <v>56</v>
      </c>
      <c r="C12" s="6" t="s">
        <v>35</v>
      </c>
      <c r="D12" s="6" t="s">
        <v>36</v>
      </c>
      <c r="E12" s="7">
        <v>5600</v>
      </c>
      <c r="F12" s="7">
        <f t="shared" si="0"/>
        <v>67200</v>
      </c>
    </row>
    <row r="13" spans="2:10" x14ac:dyDescent="0.25">
      <c r="B13" s="6" t="s">
        <v>37</v>
      </c>
      <c r="C13" s="6" t="s">
        <v>7</v>
      </c>
      <c r="D13" s="6" t="s">
        <v>33</v>
      </c>
      <c r="E13" s="7">
        <v>7100</v>
      </c>
      <c r="F13" s="7">
        <f t="shared" si="0"/>
        <v>85200</v>
      </c>
    </row>
    <row r="14" spans="2:10" x14ac:dyDescent="0.25">
      <c r="B14" s="6" t="s">
        <v>31</v>
      </c>
      <c r="C14" s="6" t="s">
        <v>32</v>
      </c>
      <c r="D14" s="6" t="s">
        <v>33</v>
      </c>
      <c r="E14" s="7">
        <v>9200</v>
      </c>
      <c r="F14" s="7">
        <f t="shared" si="0"/>
        <v>110400</v>
      </c>
    </row>
    <row r="15" spans="2:10" x14ac:dyDescent="0.25">
      <c r="B15" s="6" t="s">
        <v>57</v>
      </c>
      <c r="C15" s="6" t="s">
        <v>35</v>
      </c>
      <c r="D15" s="6" t="s">
        <v>33</v>
      </c>
      <c r="E15" s="7">
        <v>6400</v>
      </c>
      <c r="F15" s="7">
        <f t="shared" si="0"/>
        <v>76800</v>
      </c>
    </row>
    <row r="16" spans="2:10" x14ac:dyDescent="0.25">
      <c r="B16" s="6" t="s">
        <v>58</v>
      </c>
      <c r="C16" s="6" t="s">
        <v>7</v>
      </c>
      <c r="D16" s="6" t="s">
        <v>36</v>
      </c>
      <c r="E16" s="7">
        <v>7100</v>
      </c>
      <c r="F16" s="7">
        <f t="shared" si="0"/>
        <v>85200</v>
      </c>
    </row>
  </sheetData>
  <sortState xmlns:xlrd2="http://schemas.microsoft.com/office/spreadsheetml/2017/richdata2" ref="B6:E16">
    <sortCondition ref="B6:B16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19"/>
  <sheetViews>
    <sheetView showGridLines="0" workbookViewId="0">
      <selection activeCell="J14" sqref="J14"/>
    </sheetView>
  </sheetViews>
  <sheetFormatPr defaultRowHeight="15" x14ac:dyDescent="0.25"/>
  <cols>
    <col min="1" max="1" width="3.140625" customWidth="1"/>
    <col min="2" max="2" width="19.5703125" style="2" bestFit="1" customWidth="1"/>
    <col min="3" max="3" width="13.85546875" style="17" customWidth="1"/>
    <col min="4" max="4" width="16.42578125" style="25" bestFit="1" customWidth="1"/>
    <col min="7" max="7" width="15.42578125" customWidth="1"/>
  </cols>
  <sheetData>
    <row r="2" spans="2:9" ht="19.5" thickBot="1" x14ac:dyDescent="0.35">
      <c r="B2" s="9" t="s">
        <v>105</v>
      </c>
      <c r="C2" s="9"/>
      <c r="D2" s="9"/>
      <c r="E2" s="9"/>
      <c r="F2" s="9"/>
      <c r="G2" s="9"/>
      <c r="H2" s="9"/>
    </row>
    <row r="3" spans="2:9" ht="15.75" thickTop="1" x14ac:dyDescent="0.25"/>
    <row r="4" spans="2:9" x14ac:dyDescent="0.25">
      <c r="B4" s="27" t="s">
        <v>28</v>
      </c>
      <c r="C4" s="63" t="s">
        <v>98</v>
      </c>
      <c r="D4" s="27" t="s">
        <v>99</v>
      </c>
      <c r="G4" s="65" t="s">
        <v>101</v>
      </c>
      <c r="H4" s="66">
        <f ca="1">SUM(OFFSET(D5,0,0,COUNTA(D:D)))</f>
        <v>206</v>
      </c>
      <c r="I4" s="67" t="s">
        <v>102</v>
      </c>
    </row>
    <row r="5" spans="2:9" x14ac:dyDescent="0.25">
      <c r="B5" s="20">
        <v>45110</v>
      </c>
      <c r="C5" s="64" t="str">
        <f>TEXT(B5,"dddd")</f>
        <v>Monday</v>
      </c>
      <c r="D5" s="62">
        <v>31</v>
      </c>
      <c r="E5" s="61"/>
    </row>
    <row r="6" spans="2:9" x14ac:dyDescent="0.25">
      <c r="B6" s="20">
        <v>45111</v>
      </c>
      <c r="C6" s="64" t="str">
        <f t="shared" ref="C6:C19" si="0">TEXT(B6,"dddd")</f>
        <v>Tuesday</v>
      </c>
      <c r="D6" s="62">
        <v>32</v>
      </c>
    </row>
    <row r="7" spans="2:9" x14ac:dyDescent="0.25">
      <c r="B7" s="20">
        <v>45112</v>
      </c>
      <c r="C7" s="64" t="str">
        <f t="shared" si="0"/>
        <v>Wednesday</v>
      </c>
      <c r="D7" s="62">
        <v>18</v>
      </c>
    </row>
    <row r="8" spans="2:9" x14ac:dyDescent="0.25">
      <c r="B8" s="20">
        <v>45113</v>
      </c>
      <c r="C8" s="64" t="str">
        <f t="shared" si="0"/>
        <v>Thursday</v>
      </c>
      <c r="D8" s="62">
        <v>15</v>
      </c>
    </row>
    <row r="9" spans="2:9" x14ac:dyDescent="0.25">
      <c r="B9" s="20">
        <v>45114</v>
      </c>
      <c r="C9" s="64" t="str">
        <f t="shared" si="0"/>
        <v>Friday</v>
      </c>
      <c r="D9" s="62">
        <v>19</v>
      </c>
    </row>
    <row r="10" spans="2:9" x14ac:dyDescent="0.25">
      <c r="B10" s="20">
        <v>45117</v>
      </c>
      <c r="C10" s="64" t="str">
        <f t="shared" si="0"/>
        <v>Monday</v>
      </c>
      <c r="D10" s="62">
        <v>22</v>
      </c>
    </row>
    <row r="11" spans="2:9" x14ac:dyDescent="0.25">
      <c r="B11" s="20">
        <v>45118</v>
      </c>
      <c r="C11" s="64" t="str">
        <f t="shared" si="0"/>
        <v>Tuesday</v>
      </c>
      <c r="D11" s="62">
        <v>14</v>
      </c>
    </row>
    <row r="12" spans="2:9" x14ac:dyDescent="0.25">
      <c r="B12" s="20">
        <v>45119</v>
      </c>
      <c r="C12" s="64" t="str">
        <f t="shared" si="0"/>
        <v>Wednesday</v>
      </c>
      <c r="D12" s="62">
        <v>32</v>
      </c>
      <c r="F12" s="21"/>
    </row>
    <row r="13" spans="2:9" x14ac:dyDescent="0.25">
      <c r="B13" s="20">
        <v>45120</v>
      </c>
      <c r="C13" s="64" t="str">
        <f t="shared" si="0"/>
        <v>Thursday</v>
      </c>
      <c r="D13" s="62">
        <v>23</v>
      </c>
    </row>
    <row r="14" spans="2:9" x14ac:dyDescent="0.25">
      <c r="B14" s="20">
        <v>45121</v>
      </c>
      <c r="C14" s="64" t="str">
        <f t="shared" si="0"/>
        <v>Friday</v>
      </c>
      <c r="D14" s="62"/>
    </row>
    <row r="15" spans="2:9" x14ac:dyDescent="0.25">
      <c r="B15" s="20">
        <v>45124</v>
      </c>
      <c r="C15" s="64" t="str">
        <f t="shared" si="0"/>
        <v>Monday</v>
      </c>
      <c r="D15" s="62"/>
    </row>
    <row r="16" spans="2:9" x14ac:dyDescent="0.25">
      <c r="B16" s="20">
        <v>45125</v>
      </c>
      <c r="C16" s="64" t="str">
        <f t="shared" si="0"/>
        <v>Tuesday</v>
      </c>
      <c r="D16" s="62"/>
    </row>
    <row r="17" spans="2:4" x14ac:dyDescent="0.25">
      <c r="B17" s="20">
        <v>45126</v>
      </c>
      <c r="C17" s="64" t="str">
        <f t="shared" si="0"/>
        <v>Wednesday</v>
      </c>
      <c r="D17" s="62"/>
    </row>
    <row r="18" spans="2:4" x14ac:dyDescent="0.25">
      <c r="B18" s="20">
        <v>45127</v>
      </c>
      <c r="C18" s="64" t="str">
        <f t="shared" si="0"/>
        <v>Thursday</v>
      </c>
      <c r="D18" s="62"/>
    </row>
    <row r="19" spans="2:4" x14ac:dyDescent="0.25">
      <c r="B19" s="20">
        <v>45128</v>
      </c>
      <c r="C19" s="64" t="str">
        <f t="shared" si="0"/>
        <v>Friday</v>
      </c>
      <c r="D19" s="6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19"/>
  <sheetViews>
    <sheetView showGridLines="0" workbookViewId="0">
      <selection activeCell="B10" sqref="B10"/>
    </sheetView>
  </sheetViews>
  <sheetFormatPr defaultRowHeight="15" x14ac:dyDescent="0.25"/>
  <cols>
    <col min="1" max="1" width="3.140625" customWidth="1"/>
    <col min="2" max="2" width="19.140625" style="2" bestFit="1" customWidth="1"/>
    <col min="5" max="5" width="17.7109375" customWidth="1"/>
  </cols>
  <sheetData>
    <row r="2" spans="2:7" ht="19.5" thickBot="1" x14ac:dyDescent="0.35">
      <c r="B2" s="9" t="s">
        <v>106</v>
      </c>
      <c r="C2" s="9"/>
      <c r="D2" s="9"/>
      <c r="E2" s="9"/>
      <c r="F2" s="9"/>
    </row>
    <row r="3" spans="2:7" ht="15.75" thickTop="1" x14ac:dyDescent="0.25"/>
    <row r="4" spans="2:7" x14ac:dyDescent="0.25">
      <c r="B4" s="63" t="s">
        <v>103</v>
      </c>
      <c r="E4" s="65" t="s">
        <v>42</v>
      </c>
      <c r="F4" s="66">
        <f>COUNTA(B5:B19)</f>
        <v>15</v>
      </c>
      <c r="G4" s="67" t="s">
        <v>104</v>
      </c>
    </row>
    <row r="5" spans="2:7" x14ac:dyDescent="0.25">
      <c r="B5" s="11" t="s">
        <v>9</v>
      </c>
      <c r="C5" s="61"/>
    </row>
    <row r="6" spans="2:7" x14ac:dyDescent="0.25">
      <c r="B6" s="11" t="s">
        <v>10</v>
      </c>
    </row>
    <row r="7" spans="2:7" x14ac:dyDescent="0.25">
      <c r="B7" s="11" t="s">
        <v>11</v>
      </c>
    </row>
    <row r="8" spans="2:7" x14ac:dyDescent="0.25">
      <c r="B8" s="11" t="s">
        <v>12</v>
      </c>
    </row>
    <row r="9" spans="2:7" x14ac:dyDescent="0.25">
      <c r="B9" s="11" t="s">
        <v>13</v>
      </c>
    </row>
    <row r="10" spans="2:7" x14ac:dyDescent="0.25">
      <c r="B10" s="11" t="s">
        <v>14</v>
      </c>
    </row>
    <row r="11" spans="2:7" x14ac:dyDescent="0.25">
      <c r="B11" s="11" t="s">
        <v>15</v>
      </c>
    </row>
    <row r="12" spans="2:7" x14ac:dyDescent="0.25">
      <c r="B12" s="11" t="s">
        <v>16</v>
      </c>
      <c r="D12" s="21"/>
    </row>
    <row r="13" spans="2:7" x14ac:dyDescent="0.25">
      <c r="B13" s="11" t="s">
        <v>17</v>
      </c>
    </row>
    <row r="14" spans="2:7" x14ac:dyDescent="0.25">
      <c r="B14" s="11" t="s">
        <v>18</v>
      </c>
    </row>
    <row r="15" spans="2:7" x14ac:dyDescent="0.25">
      <c r="B15" s="11" t="s">
        <v>19</v>
      </c>
    </row>
    <row r="16" spans="2:7" x14ac:dyDescent="0.25">
      <c r="B16" s="11" t="s">
        <v>20</v>
      </c>
    </row>
    <row r="17" spans="2:2" x14ac:dyDescent="0.25">
      <c r="B17" s="11" t="s">
        <v>21</v>
      </c>
    </row>
    <row r="18" spans="2:2" x14ac:dyDescent="0.25">
      <c r="B18" s="11" t="s">
        <v>22</v>
      </c>
    </row>
    <row r="19" spans="2:2" x14ac:dyDescent="0.25">
      <c r="B19" s="11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16"/>
  <sheetViews>
    <sheetView showGridLines="0" workbookViewId="0">
      <selection activeCell="I16" sqref="I16"/>
    </sheetView>
  </sheetViews>
  <sheetFormatPr defaultRowHeight="15" x14ac:dyDescent="0.25"/>
  <cols>
    <col min="1" max="1" width="2.42578125" customWidth="1"/>
    <col min="2" max="2" width="16.5703125" customWidth="1"/>
    <col min="3" max="3" width="14.5703125" customWidth="1"/>
    <col min="4" max="4" width="11.7109375" customWidth="1"/>
    <col min="5" max="5" width="15.42578125" customWidth="1"/>
    <col min="6" max="6" width="19.28515625" customWidth="1"/>
    <col min="8" max="8" width="14.42578125" customWidth="1"/>
    <col min="9" max="9" width="16.7109375" customWidth="1"/>
    <col min="10" max="10" width="26.5703125" customWidth="1"/>
  </cols>
  <sheetData>
    <row r="1" spans="2:10" x14ac:dyDescent="0.25">
      <c r="B1" s="16"/>
      <c r="C1" s="17"/>
      <c r="D1" s="17"/>
      <c r="E1" s="17"/>
      <c r="F1" s="18"/>
    </row>
    <row r="2" spans="2:10" ht="19.5" thickBot="1" x14ac:dyDescent="0.35">
      <c r="B2" s="9" t="s">
        <v>107</v>
      </c>
      <c r="C2" s="9"/>
      <c r="D2" s="9"/>
      <c r="E2" s="9"/>
      <c r="F2" s="9"/>
      <c r="G2" s="9"/>
      <c r="H2" s="9"/>
      <c r="I2" s="9"/>
      <c r="J2" s="9"/>
    </row>
    <row r="3" spans="2:10" ht="15.75" thickTop="1" x14ac:dyDescent="0.25"/>
    <row r="4" spans="2:10" x14ac:dyDescent="0.25">
      <c r="F4" s="15"/>
      <c r="I4" s="15" t="s">
        <v>44</v>
      </c>
    </row>
    <row r="5" spans="2:10" x14ac:dyDescent="0.25">
      <c r="B5" s="24" t="s">
        <v>0</v>
      </c>
      <c r="C5" s="24" t="s">
        <v>1</v>
      </c>
      <c r="D5" s="24" t="s">
        <v>29</v>
      </c>
      <c r="E5" s="24" t="s">
        <v>30</v>
      </c>
      <c r="F5" s="26" t="s">
        <v>41</v>
      </c>
      <c r="H5" s="24" t="s">
        <v>1</v>
      </c>
      <c r="I5" s="26" t="s">
        <v>42</v>
      </c>
    </row>
    <row r="6" spans="2:10" x14ac:dyDescent="0.25">
      <c r="B6" s="6" t="s">
        <v>54</v>
      </c>
      <c r="C6" s="6" t="s">
        <v>35</v>
      </c>
      <c r="D6" s="6" t="s">
        <v>36</v>
      </c>
      <c r="E6" s="7">
        <v>7300</v>
      </c>
      <c r="F6" s="7">
        <f>E6*12</f>
        <v>87600</v>
      </c>
      <c r="H6" s="4" t="s">
        <v>32</v>
      </c>
      <c r="I6" s="68">
        <f>COUNTIF($C$6:$C$16,H6)</f>
        <v>2</v>
      </c>
      <c r="J6" s="67" t="s">
        <v>108</v>
      </c>
    </row>
    <row r="7" spans="2:10" x14ac:dyDescent="0.25">
      <c r="B7" s="6" t="s">
        <v>38</v>
      </c>
      <c r="C7" s="6" t="s">
        <v>32</v>
      </c>
      <c r="D7" s="6" t="s">
        <v>33</v>
      </c>
      <c r="E7" s="7">
        <v>5600</v>
      </c>
      <c r="F7" s="7">
        <f t="shared" ref="F7:F16" si="0">E7*12</f>
        <v>67200</v>
      </c>
      <c r="H7" s="4" t="s">
        <v>7</v>
      </c>
      <c r="I7" s="68">
        <f t="shared" ref="I7:I9" si="1">COUNTIF($C$6:$C$16,H7)</f>
        <v>3</v>
      </c>
    </row>
    <row r="8" spans="2:10" x14ac:dyDescent="0.25">
      <c r="B8" s="6" t="s">
        <v>55</v>
      </c>
      <c r="C8" s="6" t="s">
        <v>6</v>
      </c>
      <c r="D8" s="6" t="s">
        <v>33</v>
      </c>
      <c r="E8" s="7">
        <v>5200</v>
      </c>
      <c r="F8" s="7">
        <f t="shared" si="0"/>
        <v>62400</v>
      </c>
      <c r="H8" s="4" t="s">
        <v>35</v>
      </c>
      <c r="I8" s="68">
        <f t="shared" si="1"/>
        <v>4</v>
      </c>
    </row>
    <row r="9" spans="2:10" x14ac:dyDescent="0.25">
      <c r="B9" s="6" t="s">
        <v>40</v>
      </c>
      <c r="C9" s="6" t="s">
        <v>6</v>
      </c>
      <c r="D9" s="6" t="s">
        <v>33</v>
      </c>
      <c r="E9" s="7">
        <v>4200</v>
      </c>
      <c r="F9" s="7">
        <f t="shared" si="0"/>
        <v>50400</v>
      </c>
      <c r="H9" s="4" t="s">
        <v>6</v>
      </c>
      <c r="I9" s="68">
        <f t="shared" si="1"/>
        <v>2</v>
      </c>
    </row>
    <row r="10" spans="2:10" x14ac:dyDescent="0.25">
      <c r="B10" s="6" t="s">
        <v>39</v>
      </c>
      <c r="C10" s="6" t="s">
        <v>35</v>
      </c>
      <c r="D10" s="6" t="s">
        <v>33</v>
      </c>
      <c r="E10" s="7">
        <v>12500</v>
      </c>
      <c r="F10" s="7">
        <f t="shared" si="0"/>
        <v>150000</v>
      </c>
    </row>
    <row r="11" spans="2:10" x14ac:dyDescent="0.25">
      <c r="B11" s="6" t="s">
        <v>34</v>
      </c>
      <c r="C11" s="6" t="s">
        <v>7</v>
      </c>
      <c r="D11" s="6" t="s">
        <v>33</v>
      </c>
      <c r="E11" s="7">
        <v>8700</v>
      </c>
      <c r="F11" s="7">
        <f t="shared" si="0"/>
        <v>104400</v>
      </c>
    </row>
    <row r="12" spans="2:10" x14ac:dyDescent="0.25">
      <c r="B12" s="6" t="s">
        <v>56</v>
      </c>
      <c r="C12" s="6" t="s">
        <v>35</v>
      </c>
      <c r="D12" s="6" t="s">
        <v>36</v>
      </c>
      <c r="E12" s="7">
        <v>5600</v>
      </c>
      <c r="F12" s="7">
        <f t="shared" si="0"/>
        <v>67200</v>
      </c>
    </row>
    <row r="13" spans="2:10" x14ac:dyDescent="0.25">
      <c r="B13" s="6" t="s">
        <v>37</v>
      </c>
      <c r="C13" s="6" t="s">
        <v>7</v>
      </c>
      <c r="D13" s="6" t="s">
        <v>33</v>
      </c>
      <c r="E13" s="7">
        <v>7100</v>
      </c>
      <c r="F13" s="7">
        <f t="shared" si="0"/>
        <v>85200</v>
      </c>
    </row>
    <row r="14" spans="2:10" x14ac:dyDescent="0.25">
      <c r="B14" s="6" t="s">
        <v>31</v>
      </c>
      <c r="C14" s="6" t="s">
        <v>32</v>
      </c>
      <c r="D14" s="6" t="s">
        <v>33</v>
      </c>
      <c r="E14" s="7">
        <v>9200</v>
      </c>
      <c r="F14" s="7">
        <f t="shared" si="0"/>
        <v>110400</v>
      </c>
    </row>
    <row r="15" spans="2:10" x14ac:dyDescent="0.25">
      <c r="B15" s="6" t="s">
        <v>57</v>
      </c>
      <c r="C15" s="6" t="s">
        <v>35</v>
      </c>
      <c r="D15" s="6" t="s">
        <v>33</v>
      </c>
      <c r="E15" s="7">
        <v>6400</v>
      </c>
      <c r="F15" s="7">
        <f t="shared" si="0"/>
        <v>76800</v>
      </c>
    </row>
    <row r="16" spans="2:10" x14ac:dyDescent="0.25">
      <c r="B16" s="6" t="s">
        <v>58</v>
      </c>
      <c r="C16" s="6" t="s">
        <v>7</v>
      </c>
      <c r="D16" s="6" t="s">
        <v>36</v>
      </c>
      <c r="E16" s="7">
        <v>7100</v>
      </c>
      <c r="F16" s="7">
        <f t="shared" si="0"/>
        <v>85200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K15"/>
  <sheetViews>
    <sheetView showGridLines="0" workbookViewId="0">
      <selection activeCell="C10" sqref="C10"/>
    </sheetView>
  </sheetViews>
  <sheetFormatPr defaultRowHeight="15" x14ac:dyDescent="0.25"/>
  <cols>
    <col min="1" max="1" width="3.42578125" customWidth="1"/>
    <col min="2" max="2" width="20.5703125" bestFit="1" customWidth="1"/>
    <col min="3" max="3" width="19.140625" style="2" bestFit="1" customWidth="1"/>
    <col min="6" max="6" width="16.140625" bestFit="1" customWidth="1"/>
    <col min="7" max="7" width="18.7109375" customWidth="1"/>
  </cols>
  <sheetData>
    <row r="2" spans="2:11" ht="19.5" thickBot="1" x14ac:dyDescent="0.35">
      <c r="B2" s="9" t="s">
        <v>222</v>
      </c>
      <c r="C2" s="60"/>
    </row>
    <row r="3" spans="2:11" ht="15.75" thickTop="1" x14ac:dyDescent="0.25"/>
    <row r="4" spans="2:11" x14ac:dyDescent="0.25">
      <c r="B4" s="24" t="s">
        <v>109</v>
      </c>
      <c r="C4" s="27" t="s">
        <v>8</v>
      </c>
      <c r="F4" s="28" t="s">
        <v>111</v>
      </c>
      <c r="G4" s="28"/>
      <c r="H4" s="28"/>
      <c r="I4" s="28"/>
      <c r="J4" s="28"/>
      <c r="K4" s="28"/>
    </row>
    <row r="5" spans="2:11" x14ac:dyDescent="0.25">
      <c r="B5" s="11" t="s">
        <v>10</v>
      </c>
      <c r="C5" s="10">
        <v>10125</v>
      </c>
    </row>
    <row r="6" spans="2:11" x14ac:dyDescent="0.25">
      <c r="B6" s="11" t="s">
        <v>27</v>
      </c>
      <c r="C6" s="10">
        <v>10142</v>
      </c>
      <c r="F6" s="65" t="s">
        <v>8</v>
      </c>
      <c r="G6" s="65" t="s">
        <v>110</v>
      </c>
    </row>
    <row r="7" spans="2:11" x14ac:dyDescent="0.25">
      <c r="B7" s="11" t="s">
        <v>17</v>
      </c>
      <c r="C7" s="10">
        <v>10165</v>
      </c>
      <c r="F7" s="10">
        <v>10209</v>
      </c>
      <c r="G7" s="69">
        <f>MATCH(F7,C5:C15,0)</f>
        <v>6</v>
      </c>
      <c r="H7" s="45" t="s">
        <v>112</v>
      </c>
    </row>
    <row r="8" spans="2:11" x14ac:dyDescent="0.25">
      <c r="B8" s="11" t="s">
        <v>25</v>
      </c>
      <c r="C8" s="10">
        <v>10177</v>
      </c>
    </row>
    <row r="9" spans="2:11" x14ac:dyDescent="0.25">
      <c r="B9" s="11" t="s">
        <v>24</v>
      </c>
      <c r="C9" s="10">
        <v>10207</v>
      </c>
    </row>
    <row r="10" spans="2:11" x14ac:dyDescent="0.25">
      <c r="B10" s="11" t="s">
        <v>15</v>
      </c>
      <c r="C10" s="10">
        <v>10209</v>
      </c>
    </row>
    <row r="11" spans="2:11" x14ac:dyDescent="0.25">
      <c r="B11" s="11" t="s">
        <v>16</v>
      </c>
      <c r="C11" s="10">
        <v>10219</v>
      </c>
    </row>
    <row r="12" spans="2:11" x14ac:dyDescent="0.25">
      <c r="B12" s="11" t="s">
        <v>20</v>
      </c>
      <c r="C12" s="10">
        <v>10222</v>
      </c>
    </row>
    <row r="13" spans="2:11" x14ac:dyDescent="0.25">
      <c r="B13" s="11" t="s">
        <v>12</v>
      </c>
      <c r="C13" s="10">
        <v>10223</v>
      </c>
    </row>
    <row r="14" spans="2:11" x14ac:dyDescent="0.25">
      <c r="B14" s="11" t="s">
        <v>13</v>
      </c>
      <c r="C14" s="10">
        <v>10226</v>
      </c>
    </row>
    <row r="15" spans="2:11" x14ac:dyDescent="0.25">
      <c r="B15" s="11" t="s">
        <v>26</v>
      </c>
      <c r="C15" s="10">
        <v>10242</v>
      </c>
    </row>
  </sheetData>
  <sortState xmlns:xlrd2="http://schemas.microsoft.com/office/spreadsheetml/2017/richdata2" ref="B5:C15">
    <sortCondition ref="C5:C15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L16"/>
  <sheetViews>
    <sheetView showGridLines="0" topLeftCell="B1" workbookViewId="0">
      <selection activeCell="G8" sqref="G8"/>
    </sheetView>
  </sheetViews>
  <sheetFormatPr defaultRowHeight="15" x14ac:dyDescent="0.25"/>
  <cols>
    <col min="1" max="1" width="3.42578125" customWidth="1"/>
    <col min="2" max="2" width="20.5703125" bestFit="1" customWidth="1"/>
    <col min="3" max="3" width="19.140625" style="2" bestFit="1" customWidth="1"/>
    <col min="6" max="6" width="16.140625" bestFit="1" customWidth="1"/>
    <col min="7" max="7" width="18.7109375" customWidth="1"/>
  </cols>
  <sheetData>
    <row r="2" spans="2:12" ht="19.5" thickBot="1" x14ac:dyDescent="0.35">
      <c r="B2" s="9" t="s">
        <v>116</v>
      </c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2:12" ht="15.75" thickTop="1" x14ac:dyDescent="0.25"/>
    <row r="5" spans="2:12" x14ac:dyDescent="0.25">
      <c r="B5" s="24" t="s">
        <v>109</v>
      </c>
      <c r="C5" s="27" t="s">
        <v>8</v>
      </c>
      <c r="F5" s="28" t="s">
        <v>113</v>
      </c>
      <c r="G5" s="28"/>
      <c r="H5" s="28"/>
      <c r="I5" s="28"/>
      <c r="J5" s="28"/>
      <c r="K5" s="28"/>
    </row>
    <row r="6" spans="2:12" x14ac:dyDescent="0.25">
      <c r="B6" s="11" t="s">
        <v>10</v>
      </c>
      <c r="C6" s="71">
        <v>10125</v>
      </c>
    </row>
    <row r="7" spans="2:12" x14ac:dyDescent="0.25">
      <c r="B7" s="11" t="s">
        <v>27</v>
      </c>
      <c r="C7" s="71">
        <v>10142</v>
      </c>
      <c r="F7" s="65" t="s">
        <v>8</v>
      </c>
      <c r="G7" s="65" t="s">
        <v>109</v>
      </c>
    </row>
    <row r="8" spans="2:12" x14ac:dyDescent="0.25">
      <c r="B8" s="11" t="s">
        <v>17</v>
      </c>
      <c r="C8" s="71">
        <v>10165</v>
      </c>
      <c r="F8" s="10">
        <v>10209</v>
      </c>
      <c r="G8" s="69" t="str">
        <f>INDEX(B6:B16,MATCH(F8,C6:C16,0))</f>
        <v>Kamal Basak</v>
      </c>
      <c r="H8" s="67" t="s">
        <v>114</v>
      </c>
    </row>
    <row r="9" spans="2:12" x14ac:dyDescent="0.25">
      <c r="B9" s="11" t="s">
        <v>25</v>
      </c>
      <c r="C9" s="71">
        <v>10177</v>
      </c>
    </row>
    <row r="10" spans="2:12" x14ac:dyDescent="0.25">
      <c r="B10" s="11" t="s">
        <v>24</v>
      </c>
      <c r="C10" s="71">
        <v>10207</v>
      </c>
    </row>
    <row r="11" spans="2:12" x14ac:dyDescent="0.25">
      <c r="B11" s="70" t="s">
        <v>15</v>
      </c>
      <c r="C11" s="71">
        <v>10209</v>
      </c>
      <c r="F11" s="65" t="s">
        <v>8</v>
      </c>
      <c r="G11" s="65" t="s">
        <v>109</v>
      </c>
    </row>
    <row r="12" spans="2:12" x14ac:dyDescent="0.25">
      <c r="B12" s="11" t="s">
        <v>16</v>
      </c>
      <c r="C12" s="10">
        <v>10219</v>
      </c>
      <c r="F12" s="10">
        <v>10209</v>
      </c>
      <c r="G12" s="69" t="str">
        <f>VLOOKUP(F12,CHOOSE({1,2},C6:C16,B6:B16),2,0)</f>
        <v>Kamal Basak</v>
      </c>
      <c r="H12" s="67" t="s">
        <v>115</v>
      </c>
    </row>
    <row r="13" spans="2:12" x14ac:dyDescent="0.25">
      <c r="B13" s="11" t="s">
        <v>20</v>
      </c>
      <c r="C13" s="10">
        <v>10222</v>
      </c>
    </row>
    <row r="14" spans="2:12" x14ac:dyDescent="0.25">
      <c r="B14" s="11" t="s">
        <v>12</v>
      </c>
      <c r="C14" s="10">
        <v>10223</v>
      </c>
    </row>
    <row r="15" spans="2:12" x14ac:dyDescent="0.25">
      <c r="B15" s="11" t="s">
        <v>13</v>
      </c>
      <c r="C15" s="10">
        <v>10226</v>
      </c>
    </row>
    <row r="16" spans="2:12" x14ac:dyDescent="0.25">
      <c r="B16" s="11" t="s">
        <v>26</v>
      </c>
      <c r="C16" s="10">
        <v>10242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F16"/>
  <sheetViews>
    <sheetView showGridLines="0" workbookViewId="0">
      <selection activeCell="E7" sqref="E7:E16"/>
    </sheetView>
  </sheetViews>
  <sheetFormatPr defaultRowHeight="15" x14ac:dyDescent="0.25"/>
  <cols>
    <col min="1" max="1" width="3.140625" customWidth="1"/>
    <col min="2" max="3" width="22.7109375" customWidth="1"/>
    <col min="4" max="4" width="3.140625" customWidth="1"/>
    <col min="5" max="5" width="25.5703125" customWidth="1"/>
    <col min="6" max="6" width="17.7109375" customWidth="1"/>
  </cols>
  <sheetData>
    <row r="2" spans="2:6" ht="19.5" thickBot="1" x14ac:dyDescent="0.35">
      <c r="B2" s="9" t="s">
        <v>143</v>
      </c>
      <c r="C2" s="9"/>
      <c r="D2" s="9"/>
      <c r="E2" s="9"/>
      <c r="F2" s="9"/>
    </row>
    <row r="3" spans="2:6" ht="15.75" thickTop="1" x14ac:dyDescent="0.25"/>
    <row r="4" spans="2:6" x14ac:dyDescent="0.25">
      <c r="B4" s="24" t="s">
        <v>117</v>
      </c>
      <c r="C4" s="24" t="s">
        <v>0</v>
      </c>
      <c r="E4" s="24" t="s">
        <v>59</v>
      </c>
    </row>
    <row r="5" spans="2:6" x14ac:dyDescent="0.25">
      <c r="B5" s="4" t="s">
        <v>118</v>
      </c>
      <c r="C5" s="4" t="s">
        <v>130</v>
      </c>
      <c r="E5" s="12" t="str">
        <f>CONCATENATE(B5," ",C5)</f>
        <v>Sangita Das</v>
      </c>
      <c r="F5" s="67" t="s">
        <v>142</v>
      </c>
    </row>
    <row r="6" spans="2:6" x14ac:dyDescent="0.25">
      <c r="B6" s="4" t="s">
        <v>119</v>
      </c>
      <c r="C6" s="4" t="s">
        <v>131</v>
      </c>
      <c r="E6" s="12" t="str">
        <f t="shared" ref="E6:E16" si="0">CONCATENATE(B6," ",C6)</f>
        <v>Soujanya Mallick</v>
      </c>
    </row>
    <row r="7" spans="2:6" x14ac:dyDescent="0.25">
      <c r="B7" s="4" t="s">
        <v>120</v>
      </c>
      <c r="C7" s="4" t="s">
        <v>132</v>
      </c>
      <c r="E7" s="12" t="str">
        <f t="shared" si="0"/>
        <v>Debu Kayal</v>
      </c>
    </row>
    <row r="8" spans="2:6" x14ac:dyDescent="0.25">
      <c r="B8" s="4" t="s">
        <v>121</v>
      </c>
      <c r="C8" s="4" t="s">
        <v>133</v>
      </c>
      <c r="E8" s="12" t="str">
        <f t="shared" si="0"/>
        <v>Indrajit Bhattacharjee</v>
      </c>
    </row>
    <row r="9" spans="2:6" x14ac:dyDescent="0.25">
      <c r="B9" s="4" t="s">
        <v>122</v>
      </c>
      <c r="C9" s="4" t="s">
        <v>134</v>
      </c>
      <c r="E9" s="12" t="str">
        <f t="shared" si="0"/>
        <v>Debajyoti Kundu</v>
      </c>
    </row>
    <row r="10" spans="2:6" x14ac:dyDescent="0.25">
      <c r="B10" s="4" t="s">
        <v>123</v>
      </c>
      <c r="C10" s="4" t="s">
        <v>135</v>
      </c>
      <c r="E10" s="12" t="str">
        <f t="shared" si="0"/>
        <v>Komal Shaw</v>
      </c>
    </row>
    <row r="11" spans="2:6" x14ac:dyDescent="0.25">
      <c r="B11" s="4" t="s">
        <v>124</v>
      </c>
      <c r="C11" s="4" t="s">
        <v>136</v>
      </c>
      <c r="E11" s="12" t="str">
        <f t="shared" si="0"/>
        <v>Kamal Basak</v>
      </c>
    </row>
    <row r="12" spans="2:6" x14ac:dyDescent="0.25">
      <c r="B12" s="4" t="s">
        <v>125</v>
      </c>
      <c r="C12" s="4" t="s">
        <v>137</v>
      </c>
      <c r="E12" s="12" t="str">
        <f t="shared" si="0"/>
        <v>Umesh Sah</v>
      </c>
    </row>
    <row r="13" spans="2:6" x14ac:dyDescent="0.25">
      <c r="B13" s="4" t="s">
        <v>126</v>
      </c>
      <c r="C13" s="4" t="s">
        <v>138</v>
      </c>
      <c r="E13" s="12" t="str">
        <f t="shared" si="0"/>
        <v>Subhabrata Bhor</v>
      </c>
    </row>
    <row r="14" spans="2:6" x14ac:dyDescent="0.25">
      <c r="B14" s="4" t="s">
        <v>127</v>
      </c>
      <c r="C14" s="4" t="s">
        <v>139</v>
      </c>
      <c r="E14" s="12" t="str">
        <f t="shared" si="0"/>
        <v>Partha Bhattacharya</v>
      </c>
    </row>
    <row r="15" spans="2:6" x14ac:dyDescent="0.25">
      <c r="B15" s="4" t="s">
        <v>128</v>
      </c>
      <c r="C15" s="4" t="s">
        <v>140</v>
      </c>
      <c r="E15" s="12" t="str">
        <f t="shared" si="0"/>
        <v>Krishna Gorai</v>
      </c>
    </row>
    <row r="16" spans="2:6" x14ac:dyDescent="0.25">
      <c r="B16" s="4" t="s">
        <v>129</v>
      </c>
      <c r="C16" s="4" t="s">
        <v>141</v>
      </c>
      <c r="E16" s="12" t="str">
        <f t="shared" si="0"/>
        <v>Indranil Roy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E16"/>
  <sheetViews>
    <sheetView showGridLines="0" workbookViewId="0">
      <selection activeCell="L18" sqref="L18"/>
    </sheetView>
  </sheetViews>
  <sheetFormatPr defaultRowHeight="15" x14ac:dyDescent="0.25"/>
  <cols>
    <col min="1" max="1" width="3.140625" customWidth="1"/>
    <col min="2" max="2" width="25.5703125" customWidth="1"/>
    <col min="3" max="3" width="17.7109375" customWidth="1"/>
    <col min="4" max="4" width="20.85546875" customWidth="1"/>
  </cols>
  <sheetData>
    <row r="2" spans="2:5" ht="19.5" thickBot="1" x14ac:dyDescent="0.35">
      <c r="B2" s="9" t="s">
        <v>144</v>
      </c>
      <c r="C2" s="9"/>
      <c r="D2" s="9"/>
    </row>
    <row r="3" spans="2:5" ht="15.75" thickTop="1" x14ac:dyDescent="0.25"/>
    <row r="4" spans="2:5" x14ac:dyDescent="0.25">
      <c r="B4" s="24" t="s">
        <v>147</v>
      </c>
      <c r="C4" s="27" t="s">
        <v>148</v>
      </c>
      <c r="D4" s="24"/>
    </row>
    <row r="5" spans="2:5" x14ac:dyDescent="0.25">
      <c r="B5" s="4" t="s">
        <v>9</v>
      </c>
      <c r="C5" s="3">
        <v>5</v>
      </c>
      <c r="D5" s="4" t="str">
        <f>REPT("*",C5)</f>
        <v>*****</v>
      </c>
      <c r="E5" s="67" t="s">
        <v>149</v>
      </c>
    </row>
    <row r="6" spans="2:5" x14ac:dyDescent="0.25">
      <c r="B6" s="4" t="s">
        <v>10</v>
      </c>
      <c r="C6" s="3">
        <v>3</v>
      </c>
      <c r="D6" s="4" t="str">
        <f t="shared" ref="D6:D16" si="0">REPT("*",C6)</f>
        <v>***</v>
      </c>
    </row>
    <row r="7" spans="2:5" x14ac:dyDescent="0.25">
      <c r="B7" s="4" t="s">
        <v>11</v>
      </c>
      <c r="C7" s="3">
        <v>5</v>
      </c>
      <c r="D7" s="4" t="str">
        <f t="shared" si="0"/>
        <v>*****</v>
      </c>
    </row>
    <row r="8" spans="2:5" x14ac:dyDescent="0.25">
      <c r="B8" s="4" t="s">
        <v>12</v>
      </c>
      <c r="C8" s="3">
        <v>2</v>
      </c>
      <c r="D8" s="4" t="str">
        <f t="shared" si="0"/>
        <v>**</v>
      </c>
    </row>
    <row r="9" spans="2:5" x14ac:dyDescent="0.25">
      <c r="B9" s="4" t="s">
        <v>13</v>
      </c>
      <c r="C9" s="3">
        <v>1</v>
      </c>
      <c r="D9" s="4" t="str">
        <f t="shared" si="0"/>
        <v>*</v>
      </c>
    </row>
    <row r="10" spans="2:5" x14ac:dyDescent="0.25">
      <c r="B10" s="4" t="s">
        <v>14</v>
      </c>
      <c r="C10" s="3">
        <v>5</v>
      </c>
      <c r="D10" s="4" t="str">
        <f t="shared" si="0"/>
        <v>*****</v>
      </c>
    </row>
    <row r="11" spans="2:5" x14ac:dyDescent="0.25">
      <c r="B11" s="4" t="s">
        <v>15</v>
      </c>
      <c r="C11" s="3">
        <v>5</v>
      </c>
      <c r="D11" s="4" t="str">
        <f t="shared" si="0"/>
        <v>*****</v>
      </c>
    </row>
    <row r="12" spans="2:5" x14ac:dyDescent="0.25">
      <c r="B12" s="4" t="s">
        <v>145</v>
      </c>
      <c r="C12" s="3">
        <v>1</v>
      </c>
      <c r="D12" s="4" t="str">
        <f t="shared" si="0"/>
        <v>*</v>
      </c>
    </row>
    <row r="13" spans="2:5" x14ac:dyDescent="0.25">
      <c r="B13" s="4" t="s">
        <v>17</v>
      </c>
      <c r="C13" s="3">
        <v>4</v>
      </c>
      <c r="D13" s="4" t="str">
        <f t="shared" si="0"/>
        <v>****</v>
      </c>
    </row>
    <row r="14" spans="2:5" x14ac:dyDescent="0.25">
      <c r="B14" s="4" t="s">
        <v>18</v>
      </c>
      <c r="C14" s="3">
        <v>4</v>
      </c>
      <c r="D14" s="4" t="str">
        <f t="shared" si="0"/>
        <v>****</v>
      </c>
    </row>
    <row r="15" spans="2:5" x14ac:dyDescent="0.25">
      <c r="B15" s="4" t="s">
        <v>146</v>
      </c>
      <c r="C15" s="3">
        <v>2</v>
      </c>
      <c r="D15" s="4" t="str">
        <f t="shared" si="0"/>
        <v>**</v>
      </c>
    </row>
    <row r="16" spans="2:5" x14ac:dyDescent="0.25">
      <c r="B16" s="4" t="s">
        <v>20</v>
      </c>
      <c r="C16" s="3">
        <v>3</v>
      </c>
      <c r="D16" s="4" t="str">
        <f t="shared" si="0"/>
        <v>***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E8"/>
  <sheetViews>
    <sheetView showGridLines="0" workbookViewId="0">
      <selection activeCell="H10" sqref="H10"/>
    </sheetView>
  </sheetViews>
  <sheetFormatPr defaultRowHeight="15" x14ac:dyDescent="0.25"/>
  <cols>
    <col min="1" max="1" width="3.140625" customWidth="1"/>
    <col min="2" max="2" width="25.5703125" customWidth="1"/>
    <col min="3" max="3" width="17.7109375" customWidth="1"/>
    <col min="4" max="4" width="20.85546875" customWidth="1"/>
  </cols>
  <sheetData>
    <row r="2" spans="2:5" ht="19.5" thickBot="1" x14ac:dyDescent="0.35">
      <c r="B2" s="9" t="s">
        <v>151</v>
      </c>
      <c r="C2" s="9"/>
      <c r="D2" s="9"/>
    </row>
    <row r="3" spans="2:5" ht="15.75" thickTop="1" x14ac:dyDescent="0.25"/>
    <row r="4" spans="2:5" x14ac:dyDescent="0.25">
      <c r="B4" s="24"/>
      <c r="C4" s="24" t="s">
        <v>153</v>
      </c>
      <c r="D4" s="27" t="s">
        <v>152</v>
      </c>
    </row>
    <row r="5" spans="2:5" x14ac:dyDescent="0.25">
      <c r="B5" s="5" t="s">
        <v>150</v>
      </c>
      <c r="C5" s="4" t="s">
        <v>154</v>
      </c>
      <c r="D5" s="3">
        <f>TYPE(B5)</f>
        <v>2</v>
      </c>
      <c r="E5" s="83" t="s">
        <v>230</v>
      </c>
    </row>
    <row r="6" spans="2:5" x14ac:dyDescent="0.25">
      <c r="B6" s="5">
        <v>99</v>
      </c>
      <c r="C6" s="4" t="s">
        <v>155</v>
      </c>
      <c r="D6" s="3">
        <f>TYPE(B6)</f>
        <v>1</v>
      </c>
    </row>
    <row r="7" spans="2:5" x14ac:dyDescent="0.25">
      <c r="B7" s="5" t="e">
        <v>#N/A</v>
      </c>
      <c r="C7" s="4" t="s">
        <v>156</v>
      </c>
      <c r="D7" s="3">
        <f t="shared" ref="D7:D8" si="0">TYPE(B7)</f>
        <v>16</v>
      </c>
    </row>
    <row r="8" spans="2:5" x14ac:dyDescent="0.25">
      <c r="B8" s="5" t="b">
        <v>1</v>
      </c>
      <c r="C8" s="4" t="s">
        <v>157</v>
      </c>
      <c r="D8" s="3">
        <f t="shared" si="0"/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H15"/>
  <sheetViews>
    <sheetView showGridLines="0" workbookViewId="0">
      <selection activeCell="G20" sqref="G20"/>
    </sheetView>
  </sheetViews>
  <sheetFormatPr defaultRowHeight="15" x14ac:dyDescent="0.25"/>
  <cols>
    <col min="1" max="1" width="3.140625" customWidth="1"/>
    <col min="2" max="2" width="28" customWidth="1"/>
    <col min="3" max="3" width="16" customWidth="1"/>
    <col min="4" max="4" width="18" customWidth="1"/>
    <col min="5" max="5" width="16.42578125" customWidth="1"/>
    <col min="7" max="7" width="12.42578125" customWidth="1"/>
    <col min="8" max="8" width="24.140625" customWidth="1"/>
  </cols>
  <sheetData>
    <row r="2" spans="2:8" ht="19.5" thickBot="1" x14ac:dyDescent="0.35">
      <c r="B2" s="9" t="s">
        <v>175</v>
      </c>
      <c r="C2" s="9"/>
      <c r="D2" s="9"/>
      <c r="E2" s="9"/>
      <c r="F2" s="9"/>
      <c r="G2" s="9"/>
      <c r="H2" s="9"/>
    </row>
    <row r="3" spans="2:8" ht="15.75" thickTop="1" x14ac:dyDescent="0.25"/>
    <row r="4" spans="2:8" ht="18.75" x14ac:dyDescent="0.3">
      <c r="C4" s="73">
        <v>1</v>
      </c>
      <c r="D4" s="73">
        <v>2</v>
      </c>
      <c r="E4" s="73">
        <v>3</v>
      </c>
    </row>
    <row r="5" spans="2:8" x14ac:dyDescent="0.25">
      <c r="B5" s="27" t="s">
        <v>168</v>
      </c>
      <c r="C5" s="27" t="s">
        <v>169</v>
      </c>
      <c r="D5" s="27" t="s">
        <v>170</v>
      </c>
      <c r="E5" s="27" t="s">
        <v>171</v>
      </c>
    </row>
    <row r="6" spans="2:8" x14ac:dyDescent="0.25">
      <c r="B6" s="5" t="s">
        <v>158</v>
      </c>
      <c r="C6" s="5" t="str">
        <f>LEFT(B6,2)</f>
        <v>19</v>
      </c>
      <c r="D6" s="3" t="str">
        <f>MID(B6,3,10)</f>
        <v>AAACB0472C</v>
      </c>
      <c r="E6" s="5" t="str">
        <f>RIGHT(B6,3)</f>
        <v>1ZR</v>
      </c>
      <c r="G6" s="32" t="s">
        <v>169</v>
      </c>
      <c r="H6" s="72" t="s">
        <v>172</v>
      </c>
    </row>
    <row r="7" spans="2:8" x14ac:dyDescent="0.25">
      <c r="B7" s="5" t="s">
        <v>159</v>
      </c>
      <c r="C7" s="5" t="str">
        <f t="shared" ref="C7:C15" si="0">LEFT(B7,2)</f>
        <v>29</v>
      </c>
      <c r="D7" s="3" t="str">
        <f t="shared" ref="D7:D15" si="1">MID(B7,3,10)</f>
        <v>AACCA8464F</v>
      </c>
      <c r="E7" s="5" t="str">
        <f t="shared" ref="E7:E15" si="2">RIGHT(B7,3)</f>
        <v>2Z8</v>
      </c>
      <c r="G7" s="32" t="s">
        <v>170</v>
      </c>
      <c r="H7" s="72" t="s">
        <v>173</v>
      </c>
    </row>
    <row r="8" spans="2:8" x14ac:dyDescent="0.25">
      <c r="B8" s="5" t="s">
        <v>160</v>
      </c>
      <c r="C8" s="5" t="str">
        <f t="shared" si="0"/>
        <v>12</v>
      </c>
      <c r="D8" s="3" t="str">
        <f t="shared" si="1"/>
        <v>AAACC0462F</v>
      </c>
      <c r="E8" s="5" t="str">
        <f t="shared" si="2"/>
        <v>1ZS</v>
      </c>
      <c r="G8" s="32" t="s">
        <v>171</v>
      </c>
      <c r="H8" s="72" t="s">
        <v>174</v>
      </c>
    </row>
    <row r="9" spans="2:8" x14ac:dyDescent="0.25">
      <c r="B9" s="5" t="s">
        <v>161</v>
      </c>
      <c r="C9" s="5" t="str">
        <f t="shared" si="0"/>
        <v>20</v>
      </c>
      <c r="D9" s="3" t="str">
        <f t="shared" si="1"/>
        <v>AABCA7375C</v>
      </c>
      <c r="E9" s="5" t="str">
        <f t="shared" si="2"/>
        <v>3ZF</v>
      </c>
    </row>
    <row r="10" spans="2:8" x14ac:dyDescent="0.25">
      <c r="B10" s="5" t="s">
        <v>162</v>
      </c>
      <c r="C10" s="5" t="str">
        <f t="shared" si="0"/>
        <v>16</v>
      </c>
      <c r="D10" s="3" t="str">
        <f t="shared" si="1"/>
        <v>AABCB1518L</v>
      </c>
      <c r="E10" s="5" t="str">
        <f t="shared" si="2"/>
        <v>1ZJ</v>
      </c>
    </row>
    <row r="11" spans="2:8" x14ac:dyDescent="0.25">
      <c r="B11" s="5" t="s">
        <v>163</v>
      </c>
      <c r="C11" s="5" t="str">
        <f t="shared" si="0"/>
        <v>23</v>
      </c>
      <c r="D11" s="3" t="str">
        <f t="shared" si="1"/>
        <v>AAACB1534F</v>
      </c>
      <c r="E11" s="5" t="str">
        <f t="shared" si="2"/>
        <v>2Z9</v>
      </c>
    </row>
    <row r="12" spans="2:8" x14ac:dyDescent="0.25">
      <c r="B12" s="5" t="s">
        <v>164</v>
      </c>
      <c r="C12" s="5" t="str">
        <f t="shared" si="0"/>
        <v>29</v>
      </c>
      <c r="D12" s="3" t="str">
        <f t="shared" si="1"/>
        <v>AAACH0997E</v>
      </c>
      <c r="E12" s="5" t="str">
        <f t="shared" si="2"/>
        <v>1ZP</v>
      </c>
    </row>
    <row r="13" spans="2:8" x14ac:dyDescent="0.25">
      <c r="B13" s="5" t="s">
        <v>165</v>
      </c>
      <c r="C13" s="5" t="str">
        <f t="shared" si="0"/>
        <v>32</v>
      </c>
      <c r="D13" s="3" t="str">
        <f t="shared" si="1"/>
        <v>AACCB0774B</v>
      </c>
      <c r="E13" s="5" t="str">
        <f t="shared" si="2"/>
        <v>1Z9</v>
      </c>
    </row>
    <row r="14" spans="2:8" x14ac:dyDescent="0.25">
      <c r="B14" s="5" t="s">
        <v>166</v>
      </c>
      <c r="C14" s="5" t="str">
        <f t="shared" si="0"/>
        <v>36</v>
      </c>
      <c r="D14" s="3" t="str">
        <f t="shared" si="1"/>
        <v>AAACC6106G</v>
      </c>
      <c r="E14" s="5" t="str">
        <f t="shared" si="2"/>
        <v>2Z8</v>
      </c>
    </row>
    <row r="15" spans="2:8" x14ac:dyDescent="0.25">
      <c r="B15" s="5" t="s">
        <v>167</v>
      </c>
      <c r="C15" s="5" t="str">
        <f t="shared" si="0"/>
        <v>24</v>
      </c>
      <c r="D15" s="3" t="str">
        <f t="shared" si="1"/>
        <v>AAACC7241A</v>
      </c>
      <c r="E15" s="5" t="str">
        <f t="shared" si="2"/>
        <v>1ZB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20"/>
  <sheetViews>
    <sheetView workbookViewId="0">
      <selection activeCell="J9" sqref="J9"/>
    </sheetView>
  </sheetViews>
  <sheetFormatPr defaultRowHeight="15" x14ac:dyDescent="0.25"/>
  <cols>
    <col min="2" max="2" width="18.42578125" customWidth="1"/>
    <col min="3" max="3" width="22.42578125" customWidth="1"/>
    <col min="4" max="4" width="17.140625" customWidth="1"/>
    <col min="5" max="5" width="18.7109375" customWidth="1"/>
    <col min="7" max="7" width="22.5703125" style="84" customWidth="1"/>
    <col min="8" max="9" width="9.140625" style="84"/>
  </cols>
  <sheetData>
    <row r="1" spans="1:15" s="82" customFormat="1" x14ac:dyDescent="0.25">
      <c r="A1" s="86"/>
      <c r="B1" s="86"/>
      <c r="C1" s="86"/>
      <c r="D1" s="86"/>
      <c r="E1" s="86"/>
      <c r="F1" s="86"/>
      <c r="G1" s="87"/>
      <c r="H1" s="87"/>
      <c r="I1" s="87"/>
      <c r="J1" s="86"/>
      <c r="K1" s="86"/>
      <c r="L1" s="86"/>
      <c r="M1" s="86"/>
      <c r="N1" s="86"/>
      <c r="O1" s="86"/>
    </row>
    <row r="2" spans="1:15" s="82" customFormat="1" ht="19.5" thickBot="1" x14ac:dyDescent="0.35">
      <c r="A2" s="86"/>
      <c r="B2" s="9" t="s">
        <v>176</v>
      </c>
      <c r="C2" s="8"/>
      <c r="D2" s="8"/>
      <c r="E2" s="8"/>
      <c r="F2" s="86"/>
      <c r="G2" s="87"/>
      <c r="H2" s="87"/>
      <c r="I2" s="87"/>
      <c r="J2" s="86"/>
      <c r="K2" s="86"/>
      <c r="L2" s="86"/>
      <c r="M2" s="86"/>
      <c r="N2" s="86"/>
      <c r="O2" s="86"/>
    </row>
    <row r="3" spans="1:15" s="82" customFormat="1" ht="15.75" thickTop="1" x14ac:dyDescent="0.25">
      <c r="A3" s="86"/>
      <c r="B3" s="86"/>
      <c r="C3" s="86"/>
      <c r="D3" s="86"/>
      <c r="E3" s="86"/>
      <c r="F3" s="86"/>
      <c r="G3" s="87"/>
      <c r="H3" s="87"/>
      <c r="I3" s="87"/>
      <c r="J3" s="86"/>
      <c r="K3" s="86"/>
      <c r="L3" s="86"/>
      <c r="M3" s="86"/>
      <c r="N3" s="86"/>
      <c r="O3" s="86"/>
    </row>
    <row r="4" spans="1:15" s="82" customFormat="1" x14ac:dyDescent="0.25">
      <c r="A4" s="86"/>
      <c r="B4" s="86"/>
      <c r="C4" s="86"/>
      <c r="D4" s="86"/>
      <c r="E4" s="86"/>
      <c r="F4" s="86"/>
      <c r="G4" s="87"/>
      <c r="H4" s="87"/>
      <c r="I4" s="87"/>
      <c r="J4" s="86"/>
      <c r="K4" s="86"/>
      <c r="L4" s="86"/>
      <c r="M4" s="86"/>
      <c r="N4" s="86"/>
      <c r="O4" s="86"/>
    </row>
    <row r="5" spans="1:15" x14ac:dyDescent="0.25">
      <c r="A5" s="86"/>
      <c r="B5" s="86"/>
      <c r="C5" s="86"/>
      <c r="D5" s="86"/>
      <c r="E5" s="86"/>
      <c r="F5" s="86"/>
      <c r="G5" s="87"/>
      <c r="H5" s="87"/>
      <c r="I5" s="87"/>
      <c r="J5" s="86"/>
      <c r="K5" s="86"/>
      <c r="L5" s="86"/>
      <c r="M5" s="86"/>
      <c r="N5" s="86"/>
      <c r="O5" s="86"/>
    </row>
    <row r="6" spans="1:15" x14ac:dyDescent="0.25">
      <c r="A6" s="86"/>
      <c r="B6" s="86"/>
      <c r="C6" s="86"/>
      <c r="D6" s="86"/>
      <c r="E6" s="86"/>
      <c r="F6" s="86"/>
      <c r="G6" s="87"/>
      <c r="H6" s="87"/>
      <c r="I6" s="87"/>
      <c r="J6" s="86"/>
      <c r="K6" s="86"/>
      <c r="L6" s="86"/>
      <c r="M6" s="86"/>
      <c r="N6" s="86"/>
      <c r="O6" s="86"/>
    </row>
    <row r="7" spans="1:15" ht="30" x14ac:dyDescent="0.25">
      <c r="A7" s="82"/>
      <c r="B7" s="85" t="s">
        <v>109</v>
      </c>
      <c r="C7" s="85" t="s">
        <v>223</v>
      </c>
      <c r="D7" s="85" t="s">
        <v>224</v>
      </c>
      <c r="E7" s="85" t="s">
        <v>225</v>
      </c>
      <c r="G7" s="87"/>
      <c r="H7" s="87"/>
      <c r="I7" s="87"/>
      <c r="J7" s="86"/>
      <c r="K7" s="86"/>
      <c r="L7" s="86"/>
      <c r="M7" s="86"/>
      <c r="N7" s="86"/>
      <c r="O7" s="86"/>
    </row>
    <row r="8" spans="1:15" x14ac:dyDescent="0.25">
      <c r="A8" s="86"/>
      <c r="B8" s="88" t="s">
        <v>2</v>
      </c>
      <c r="C8" s="88">
        <v>2000</v>
      </c>
      <c r="D8" s="88">
        <f ca="1">RANDBETWEEN(5,20)</f>
        <v>19</v>
      </c>
      <c r="E8" s="89">
        <f ca="1">D8/100*C8</f>
        <v>380</v>
      </c>
      <c r="F8" s="86"/>
      <c r="G8" s="90" t="s">
        <v>229</v>
      </c>
      <c r="H8" s="87"/>
      <c r="I8" s="87"/>
      <c r="J8" s="86"/>
      <c r="K8" s="86"/>
      <c r="L8" s="86"/>
      <c r="M8" s="86"/>
      <c r="N8" s="86"/>
      <c r="O8" s="86"/>
    </row>
    <row r="9" spans="1:15" x14ac:dyDescent="0.25">
      <c r="A9" s="86"/>
      <c r="B9" s="88" t="s">
        <v>226</v>
      </c>
      <c r="C9" s="88">
        <v>2500</v>
      </c>
      <c r="D9" s="88">
        <f t="shared" ref="D9:D11" ca="1" si="0">RANDBETWEEN(5,20)</f>
        <v>12</v>
      </c>
      <c r="E9" s="89">
        <f t="shared" ref="E9:E11" ca="1" si="1">D9/100*C9</f>
        <v>300</v>
      </c>
      <c r="F9" s="86"/>
      <c r="G9" s="87"/>
      <c r="H9" s="87"/>
      <c r="I9" s="87"/>
      <c r="J9" s="86"/>
      <c r="K9" s="86"/>
      <c r="L9" s="86"/>
      <c r="M9" s="86"/>
      <c r="N9" s="86"/>
      <c r="O9" s="86"/>
    </row>
    <row r="10" spans="1:15" x14ac:dyDescent="0.25">
      <c r="A10" s="86"/>
      <c r="B10" s="88" t="s">
        <v>227</v>
      </c>
      <c r="C10" s="88">
        <v>4000</v>
      </c>
      <c r="D10" s="88">
        <f t="shared" ca="1" si="0"/>
        <v>17</v>
      </c>
      <c r="E10" s="89">
        <f t="shared" ca="1" si="1"/>
        <v>680</v>
      </c>
      <c r="F10" s="86"/>
      <c r="G10" s="87"/>
      <c r="H10" s="87"/>
      <c r="I10" s="87"/>
      <c r="J10" s="86"/>
      <c r="K10" s="86"/>
      <c r="L10" s="86"/>
      <c r="M10" s="86"/>
      <c r="N10" s="86"/>
      <c r="O10" s="86"/>
    </row>
    <row r="11" spans="1:15" x14ac:dyDescent="0.25">
      <c r="A11" s="86"/>
      <c r="B11" s="88" t="s">
        <v>228</v>
      </c>
      <c r="C11" s="88">
        <v>3000</v>
      </c>
      <c r="D11" s="88">
        <f t="shared" ca="1" si="0"/>
        <v>8</v>
      </c>
      <c r="E11" s="89">
        <f t="shared" ca="1" si="1"/>
        <v>240</v>
      </c>
      <c r="F11" s="86"/>
      <c r="G11" s="87"/>
      <c r="H11" s="87"/>
      <c r="I11" s="87"/>
      <c r="J11" s="86"/>
      <c r="K11" s="86"/>
      <c r="L11" s="86"/>
      <c r="M11" s="86"/>
      <c r="N11" s="86"/>
      <c r="O11" s="86"/>
    </row>
    <row r="12" spans="1:15" x14ac:dyDescent="0.25">
      <c r="A12" s="86"/>
      <c r="B12" s="86"/>
      <c r="C12" s="86"/>
      <c r="D12" s="86"/>
      <c r="E12" s="86"/>
      <c r="F12" s="86"/>
      <c r="G12" s="87"/>
      <c r="H12" s="87"/>
      <c r="I12" s="87"/>
      <c r="J12" s="86"/>
      <c r="K12" s="86"/>
      <c r="L12" s="86"/>
      <c r="M12" s="86"/>
      <c r="N12" s="86"/>
      <c r="O12" s="86"/>
    </row>
    <row r="13" spans="1:15" ht="19.5" thickBot="1" x14ac:dyDescent="0.35">
      <c r="A13" s="86"/>
      <c r="B13" s="86"/>
      <c r="C13" s="86"/>
      <c r="D13" s="86"/>
      <c r="E13" s="86"/>
      <c r="F13" s="86"/>
      <c r="G13" s="87"/>
      <c r="H13" s="87"/>
      <c r="I13" s="87"/>
      <c r="J13" s="86"/>
      <c r="K13" s="91"/>
      <c r="L13" s="92"/>
      <c r="M13" s="92"/>
      <c r="N13" s="92"/>
      <c r="O13" s="86"/>
    </row>
    <row r="14" spans="1:15" ht="15.75" thickTop="1" x14ac:dyDescent="0.25">
      <c r="A14" s="86"/>
      <c r="B14" s="86"/>
      <c r="C14" s="86"/>
      <c r="D14" s="86"/>
      <c r="E14" s="86"/>
      <c r="F14" s="86"/>
      <c r="G14" s="87"/>
      <c r="H14" s="87"/>
      <c r="I14" s="87"/>
      <c r="J14" s="86"/>
      <c r="K14" s="86"/>
      <c r="L14" s="86"/>
      <c r="M14" s="86"/>
      <c r="N14" s="86"/>
      <c r="O14" s="86"/>
    </row>
    <row r="15" spans="1:15" x14ac:dyDescent="0.25">
      <c r="A15" s="86"/>
      <c r="B15" s="86"/>
      <c r="C15" s="86"/>
      <c r="D15" s="86"/>
      <c r="E15" s="86"/>
      <c r="F15" s="86"/>
      <c r="G15" s="87"/>
      <c r="H15" s="87"/>
      <c r="I15" s="87"/>
      <c r="J15" s="86"/>
      <c r="K15" s="86"/>
      <c r="L15" s="86"/>
      <c r="M15" s="86"/>
      <c r="N15" s="86"/>
      <c r="O15" s="86"/>
    </row>
    <row r="16" spans="1:15" x14ac:dyDescent="0.25">
      <c r="A16" s="86"/>
      <c r="B16" s="86"/>
      <c r="C16" s="86"/>
      <c r="D16" s="86"/>
      <c r="E16" s="86"/>
      <c r="F16" s="86"/>
      <c r="G16" s="87"/>
      <c r="H16" s="87"/>
      <c r="I16" s="87"/>
      <c r="J16" s="86"/>
      <c r="K16" s="86"/>
      <c r="L16" s="86"/>
      <c r="M16" s="86"/>
      <c r="N16" s="86"/>
      <c r="O16" s="86"/>
    </row>
    <row r="17" spans="1:15" x14ac:dyDescent="0.25">
      <c r="A17" s="86"/>
      <c r="B17" s="86"/>
      <c r="C17" s="86"/>
      <c r="D17" s="86"/>
      <c r="E17" s="86"/>
      <c r="F17" s="86"/>
      <c r="G17" s="87"/>
      <c r="H17" s="87"/>
      <c r="I17" s="87"/>
      <c r="J17" s="86"/>
      <c r="K17" s="86"/>
      <c r="L17" s="86"/>
      <c r="M17" s="86"/>
      <c r="N17" s="86"/>
      <c r="O17" s="86"/>
    </row>
    <row r="18" spans="1:15" x14ac:dyDescent="0.25">
      <c r="A18" s="86"/>
      <c r="B18" s="86"/>
      <c r="C18" s="86"/>
      <c r="D18" s="86"/>
      <c r="E18" s="86"/>
      <c r="F18" s="86"/>
      <c r="G18" s="87"/>
      <c r="H18" s="87"/>
      <c r="I18" s="87"/>
      <c r="J18" s="86"/>
      <c r="K18" s="86"/>
      <c r="L18" s="86"/>
      <c r="M18" s="86"/>
      <c r="N18" s="86"/>
      <c r="O18" s="86"/>
    </row>
    <row r="19" spans="1:15" x14ac:dyDescent="0.25">
      <c r="A19" s="86"/>
      <c r="B19" s="86"/>
      <c r="C19" s="86"/>
      <c r="D19" s="86"/>
      <c r="E19" s="86"/>
      <c r="F19" s="86"/>
      <c r="G19" s="87"/>
      <c r="H19" s="87"/>
      <c r="I19" s="87"/>
      <c r="J19" s="86"/>
      <c r="K19" s="86"/>
      <c r="L19" s="86"/>
      <c r="M19" s="86"/>
      <c r="N19" s="86"/>
      <c r="O19" s="86"/>
    </row>
    <row r="20" spans="1:15" x14ac:dyDescent="0.25">
      <c r="A20" s="86"/>
      <c r="B20" s="86"/>
      <c r="C20" s="86"/>
      <c r="D20" s="86"/>
      <c r="E20" s="86"/>
      <c r="F20" s="86"/>
      <c r="G20" s="87"/>
      <c r="H20" s="87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I15"/>
  <sheetViews>
    <sheetView showGridLines="0" workbookViewId="0">
      <selection activeCell="J8" sqref="J8"/>
    </sheetView>
  </sheetViews>
  <sheetFormatPr defaultRowHeight="15" x14ac:dyDescent="0.25"/>
  <cols>
    <col min="1" max="1" width="2.5703125" customWidth="1"/>
    <col min="2" max="2" width="14.140625" customWidth="1"/>
    <col min="3" max="4" width="14" customWidth="1"/>
    <col min="5" max="5" width="12.140625" customWidth="1"/>
  </cols>
  <sheetData>
    <row r="2" spans="2:9" ht="19.5" thickBot="1" x14ac:dyDescent="0.35">
      <c r="B2" s="9" t="s">
        <v>177</v>
      </c>
      <c r="C2" s="8"/>
      <c r="D2" s="8"/>
    </row>
    <row r="3" spans="2:9" ht="15.75" thickTop="1" x14ac:dyDescent="0.25"/>
    <row r="4" spans="2:9" s="23" customFormat="1" x14ac:dyDescent="0.25">
      <c r="B4" s="74" t="s">
        <v>3</v>
      </c>
      <c r="C4" s="52" t="s">
        <v>184</v>
      </c>
      <c r="D4" s="52" t="s">
        <v>183</v>
      </c>
    </row>
    <row r="5" spans="2:9" x14ac:dyDescent="0.25">
      <c r="B5" s="4" t="s">
        <v>178</v>
      </c>
      <c r="C5" s="13">
        <v>12</v>
      </c>
      <c r="D5" s="62">
        <f>CONVERT(C5,"kg","g")</f>
        <v>12000</v>
      </c>
      <c r="E5" s="67" t="s">
        <v>185</v>
      </c>
      <c r="F5" s="45"/>
    </row>
    <row r="6" spans="2:9" x14ac:dyDescent="0.25">
      <c r="B6" s="4" t="s">
        <v>179</v>
      </c>
      <c r="C6" s="13">
        <v>9</v>
      </c>
      <c r="D6" s="62">
        <f t="shared" ref="D6:D9" si="0">CONVERT(C6,"kg","g")</f>
        <v>9000</v>
      </c>
    </row>
    <row r="7" spans="2:9" x14ac:dyDescent="0.25">
      <c r="B7" s="4" t="s">
        <v>180</v>
      </c>
      <c r="C7" s="13">
        <v>13</v>
      </c>
      <c r="D7" s="62">
        <f t="shared" si="0"/>
        <v>13000</v>
      </c>
    </row>
    <row r="8" spans="2:9" x14ac:dyDescent="0.25">
      <c r="B8" s="4" t="s">
        <v>181</v>
      </c>
      <c r="C8" s="13">
        <v>16</v>
      </c>
      <c r="D8" s="62">
        <f t="shared" si="0"/>
        <v>16000</v>
      </c>
    </row>
    <row r="9" spans="2:9" x14ac:dyDescent="0.25">
      <c r="B9" s="4" t="s">
        <v>182</v>
      </c>
      <c r="C9" s="13">
        <v>7</v>
      </c>
      <c r="D9" s="62">
        <f t="shared" si="0"/>
        <v>7000</v>
      </c>
    </row>
    <row r="15" spans="2:9" x14ac:dyDescent="0.25">
      <c r="I15" s="57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G10"/>
  <sheetViews>
    <sheetView showGridLines="0" workbookViewId="0">
      <selection activeCell="M15" sqref="M15"/>
    </sheetView>
  </sheetViews>
  <sheetFormatPr defaultRowHeight="15" x14ac:dyDescent="0.25"/>
  <cols>
    <col min="1" max="1" width="3.5703125" customWidth="1"/>
    <col min="2" max="4" width="16.85546875" customWidth="1"/>
    <col min="5" max="5" width="6.85546875" customWidth="1"/>
    <col min="6" max="6" width="12.28515625" customWidth="1"/>
  </cols>
  <sheetData>
    <row r="2" spans="2:7" ht="19.5" thickBot="1" x14ac:dyDescent="0.35">
      <c r="B2" s="9" t="s">
        <v>193</v>
      </c>
      <c r="C2" s="9"/>
      <c r="D2" s="9"/>
      <c r="E2" s="9"/>
      <c r="F2" s="9"/>
      <c r="G2" s="9"/>
    </row>
    <row r="3" spans="2:7" ht="15.75" thickTop="1" x14ac:dyDescent="0.25"/>
    <row r="4" spans="2:7" x14ac:dyDescent="0.25">
      <c r="B4" s="24" t="s">
        <v>98</v>
      </c>
      <c r="C4" s="27" t="s">
        <v>5</v>
      </c>
      <c r="D4" s="27" t="s">
        <v>192</v>
      </c>
      <c r="F4" s="27" t="s">
        <v>194</v>
      </c>
    </row>
    <row r="5" spans="2:7" x14ac:dyDescent="0.25">
      <c r="B5" s="6" t="s">
        <v>186</v>
      </c>
      <c r="C5" s="5">
        <v>32</v>
      </c>
      <c r="D5" s="5">
        <v>212</v>
      </c>
      <c r="F5" s="66">
        <f>SUMPRODUCT(C5:C10,D5:D10)</f>
        <v>44597</v>
      </c>
      <c r="G5" s="67" t="s">
        <v>195</v>
      </c>
    </row>
    <row r="6" spans="2:7" x14ac:dyDescent="0.25">
      <c r="B6" s="6" t="s">
        <v>187</v>
      </c>
      <c r="C6" s="5">
        <v>27</v>
      </c>
      <c r="D6" s="5">
        <v>245</v>
      </c>
    </row>
    <row r="7" spans="2:7" x14ac:dyDescent="0.25">
      <c r="B7" s="6" t="s">
        <v>188</v>
      </c>
      <c r="C7" s="5">
        <v>24</v>
      </c>
      <c r="D7" s="5">
        <v>199</v>
      </c>
    </row>
    <row r="8" spans="2:7" x14ac:dyDescent="0.25">
      <c r="B8" s="6" t="s">
        <v>189</v>
      </c>
      <c r="C8" s="5">
        <v>37</v>
      </c>
      <c r="D8" s="5">
        <v>210</v>
      </c>
    </row>
    <row r="9" spans="2:7" x14ac:dyDescent="0.25">
      <c r="B9" s="6" t="s">
        <v>190</v>
      </c>
      <c r="C9" s="5">
        <v>34</v>
      </c>
      <c r="D9" s="5">
        <v>205</v>
      </c>
    </row>
    <row r="10" spans="2:7" x14ac:dyDescent="0.25">
      <c r="B10" s="6" t="s">
        <v>191</v>
      </c>
      <c r="C10" s="5">
        <v>59</v>
      </c>
      <c r="D10" s="5">
        <v>198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G19"/>
  <sheetViews>
    <sheetView showGridLines="0" workbookViewId="0">
      <selection activeCell="M13" sqref="M13"/>
    </sheetView>
  </sheetViews>
  <sheetFormatPr defaultRowHeight="15" x14ac:dyDescent="0.25"/>
  <cols>
    <col min="1" max="1" width="3.5703125" customWidth="1"/>
    <col min="2" max="4" width="16.85546875" customWidth="1"/>
    <col min="5" max="5" width="6.85546875" customWidth="1"/>
  </cols>
  <sheetData>
    <row r="2" spans="2:7" ht="19.5" thickBot="1" x14ac:dyDescent="0.35">
      <c r="B2" s="9" t="s">
        <v>196</v>
      </c>
      <c r="C2" s="9"/>
      <c r="D2" s="9"/>
      <c r="E2" s="9"/>
      <c r="F2" s="9"/>
      <c r="G2" s="9"/>
    </row>
    <row r="3" spans="2:7" ht="15.75" thickTop="1" x14ac:dyDescent="0.25"/>
    <row r="4" spans="2:7" x14ac:dyDescent="0.25">
      <c r="B4" s="27" t="s">
        <v>197</v>
      </c>
      <c r="C4" s="27" t="s">
        <v>4</v>
      </c>
      <c r="D4" s="27" t="s">
        <v>198</v>
      </c>
    </row>
    <row r="5" spans="2:7" x14ac:dyDescent="0.25">
      <c r="B5" s="5">
        <v>748</v>
      </c>
      <c r="C5" s="5">
        <v>17</v>
      </c>
      <c r="D5" s="22">
        <f>B5/C5</f>
        <v>44</v>
      </c>
      <c r="E5" s="67" t="s">
        <v>199</v>
      </c>
    </row>
    <row r="6" spans="2:7" x14ac:dyDescent="0.25">
      <c r="B6" s="5">
        <v>656</v>
      </c>
      <c r="C6" s="5">
        <v>9</v>
      </c>
      <c r="D6" s="22">
        <f t="shared" ref="D6:D10" si="0">B6/C6</f>
        <v>72.888888888888886</v>
      </c>
    </row>
    <row r="7" spans="2:7" x14ac:dyDescent="0.25">
      <c r="B7" s="5">
        <v>625</v>
      </c>
      <c r="C7" s="5">
        <v>19</v>
      </c>
      <c r="D7" s="22">
        <f t="shared" si="0"/>
        <v>32.89473684210526</v>
      </c>
    </row>
    <row r="8" spans="2:7" x14ac:dyDescent="0.25">
      <c r="B8" s="5">
        <v>747</v>
      </c>
      <c r="C8" s="5">
        <v>0</v>
      </c>
      <c r="D8" s="75" t="e">
        <f t="shared" si="0"/>
        <v>#DIV/0!</v>
      </c>
    </row>
    <row r="9" spans="2:7" x14ac:dyDescent="0.25">
      <c r="B9" s="5">
        <v>503</v>
      </c>
      <c r="C9" s="5">
        <v>10</v>
      </c>
      <c r="D9" s="22">
        <f t="shared" si="0"/>
        <v>50.3</v>
      </c>
    </row>
    <row r="10" spans="2:7" x14ac:dyDescent="0.25">
      <c r="B10" s="5">
        <v>440</v>
      </c>
      <c r="C10" s="5">
        <v>9</v>
      </c>
      <c r="D10" s="22">
        <f t="shared" si="0"/>
        <v>48.888888888888886</v>
      </c>
    </row>
    <row r="13" spans="2:7" x14ac:dyDescent="0.25">
      <c r="B13" s="27" t="s">
        <v>197</v>
      </c>
      <c r="C13" s="27" t="s">
        <v>4</v>
      </c>
      <c r="D13" s="27" t="s">
        <v>198</v>
      </c>
    </row>
    <row r="14" spans="2:7" x14ac:dyDescent="0.25">
      <c r="B14" s="5">
        <v>748</v>
      </c>
      <c r="C14" s="5">
        <v>17</v>
      </c>
      <c r="D14" s="22">
        <f>IFERROR(B14/C14,0)</f>
        <v>44</v>
      </c>
      <c r="E14" s="67" t="s">
        <v>200</v>
      </c>
    </row>
    <row r="15" spans="2:7" x14ac:dyDescent="0.25">
      <c r="B15" s="5">
        <v>656</v>
      </c>
      <c r="C15" s="5">
        <v>9</v>
      </c>
      <c r="D15" s="22">
        <f t="shared" ref="D15:D19" si="1">IFERROR(B15/C15,0)</f>
        <v>72.888888888888886</v>
      </c>
    </row>
    <row r="16" spans="2:7" x14ac:dyDescent="0.25">
      <c r="B16" s="5">
        <v>625</v>
      </c>
      <c r="C16" s="5">
        <v>19</v>
      </c>
      <c r="D16" s="22">
        <f t="shared" si="1"/>
        <v>32.89473684210526</v>
      </c>
    </row>
    <row r="17" spans="2:4" x14ac:dyDescent="0.25">
      <c r="B17" s="5">
        <v>747</v>
      </c>
      <c r="C17" s="5">
        <v>0</v>
      </c>
      <c r="D17" s="75">
        <f t="shared" si="1"/>
        <v>0</v>
      </c>
    </row>
    <row r="18" spans="2:4" x14ac:dyDescent="0.25">
      <c r="B18" s="5">
        <v>503</v>
      </c>
      <c r="C18" s="5">
        <v>10</v>
      </c>
      <c r="D18" s="22">
        <f t="shared" si="1"/>
        <v>50.3</v>
      </c>
    </row>
    <row r="19" spans="2:4" x14ac:dyDescent="0.25">
      <c r="B19" s="5">
        <v>440</v>
      </c>
      <c r="C19" s="5">
        <v>9</v>
      </c>
      <c r="D19" s="22">
        <f t="shared" si="1"/>
        <v>48.888888888888886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Technical_Review</vt:lpstr>
      <vt:lpstr>XLOOKUP</vt:lpstr>
      <vt:lpstr>VLOOKUP</vt:lpstr>
      <vt:lpstr>IF_IFOR_IFAND</vt:lpstr>
      <vt:lpstr>SUMIF</vt:lpstr>
      <vt:lpstr>OFFSET + SUM</vt:lpstr>
      <vt:lpstr>COUNTA</vt:lpstr>
      <vt:lpstr>COUNTIF</vt:lpstr>
      <vt:lpstr>MATCH</vt:lpstr>
      <vt:lpstr>INDEX_MATCH | VLOOKUP_CHOOSE</vt:lpstr>
      <vt:lpstr>CONCATENATE</vt:lpstr>
      <vt:lpstr>REPT</vt:lpstr>
      <vt:lpstr>TYPE</vt:lpstr>
      <vt:lpstr>LEFT_MID_RIGHT</vt:lpstr>
      <vt:lpstr>RANDBETWEEN </vt:lpstr>
      <vt:lpstr>CONVERT</vt:lpstr>
      <vt:lpstr>SUMPRODUCT</vt:lpstr>
      <vt:lpstr>IFERROR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Debjit</dc:creator>
  <cp:lastModifiedBy>Administrator</cp:lastModifiedBy>
  <dcterms:created xsi:type="dcterms:W3CDTF">2021-10-17T03:05:47Z</dcterms:created>
  <dcterms:modified xsi:type="dcterms:W3CDTF">2024-08-27T12:52:12Z</dcterms:modified>
</cp:coreProperties>
</file>