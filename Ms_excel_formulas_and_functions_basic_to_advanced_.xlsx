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88BA8171-B217-445F-826F-82AE6FB023C9}" xr6:coauthVersionLast="47" xr6:coauthVersionMax="47" xr10:uidLastSave="{00000000-0000-0000-0000-000000000000}"/>
  <bookViews>
    <workbookView xWindow="-108" yWindow="-108" windowWidth="23256" windowHeight="13896" tabRatio="1000" firstSheet="23" activeTab="54" xr2:uid="{24E46A04-8C63-4F08-B7AE-5ED61F26858A}"/>
  </bookViews>
  <sheets>
    <sheet name="Home" sheetId="73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5" l="1"/>
  <c r="A72" i="46"/>
  <c r="A80" i="46"/>
  <c r="A88" i="46"/>
  <c r="A96" i="46"/>
  <c r="A104" i="46"/>
  <c r="A112" i="46"/>
  <c r="A121" i="46"/>
  <c r="A72" i="45"/>
  <c r="A80" i="45"/>
  <c r="A88" i="45"/>
  <c r="A96" i="45"/>
  <c r="A104" i="45"/>
  <c r="A112" i="45"/>
  <c r="A120" i="45"/>
  <c r="F4" i="40"/>
  <c r="H5" i="33"/>
  <c r="H6" i="33"/>
  <c r="H7" i="33"/>
  <c r="H8" i="33"/>
  <c r="H9" i="33"/>
  <c r="H10" i="33"/>
  <c r="H11" i="33"/>
  <c r="H4" i="33"/>
  <c r="D4" i="28" a="1"/>
  <c r="D4" i="28" s="1"/>
  <c r="D13" i="28" s="1"/>
  <c r="D18" i="27"/>
  <c r="F4" i="10"/>
  <c r="G4" i="9" a="1"/>
  <c r="G4" i="9" s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4" i="9"/>
  <c r="F11" i="9"/>
  <c r="F10" i="9"/>
  <c r="F9" i="9"/>
  <c r="F7" i="9"/>
  <c r="F6" i="9"/>
  <c r="F12" i="9"/>
  <c r="F8" i="9"/>
  <c r="F5" i="9"/>
  <c r="I7" i="4" l="1"/>
  <c r="I5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<sst xmlns="http://schemas.openxmlformats.org/spreadsheetml/2006/main" count="4059" uniqueCount="1066">
  <si>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</si>
  <si>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</si>
  <si>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</si>
  <si>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</si>
  <si>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</si>
  <si>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</si>
  <si>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</si>
  <si>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</si>
  <si>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</si>
  <si>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</si>
  <si>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</si>
  <si>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</si>
  <si>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</si>
  <si>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</si>
  <si>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</si>
  <si>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</si>
  <si>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</si>
  <si>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</si>
  <si>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</si>
  <si>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</si>
  <si>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</si>
  <si>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</si>
  <si>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</si>
  <si>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</si>
  <si>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</si>
  <si>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</si>
  <si>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</si>
  <si>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</si>
  <si>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</si>
  <si>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</si>
  <si>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</si>
  <si>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</si>
  <si>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</si>
  <si>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</si>
  <si>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</si>
  <si>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</si>
  <si>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</si>
  <si>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</si>
  <si>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</si>
  <si>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</si>
  <si>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</si>
  <si>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</si>
  <si>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</si>
  <si>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</si>
  <si>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</si>
  <si>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</si>
  <si>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</si>
  <si>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</si>
  <si>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</si>
  <si>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</si>
  <si>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</si>
  <si>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</si>
  <si>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</si>
  <si>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</si>
  <si>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</si>
  <si>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</si>
  <si>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</si>
  <si>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</si>
  <si>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</si>
  <si>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</si>
  <si>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</si>
  <si>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</si>
  <si>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</si>
  <si>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</si>
  <si>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</si>
  <si>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</si>
  <si>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</si>
  <si>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</si>
  <si>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</si>
  <si>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</si>
  <si>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</si>
  <si>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</si>
  <si>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</si>
  <si>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</si>
  <si>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</si>
  <si>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</si>
  <si>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</si>
  <si>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</si>
  <si>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</si>
  <si>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</si>
  <si>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</si>
  <si>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</si>
  <si>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</si>
  <si>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</si>
  <si>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</si>
  <si>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</si>
  <si>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</si>
  <si>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</si>
  <si>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</si>
  <si>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</si>
  <si>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</si>
  <si>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</si>
  <si>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</si>
  <si>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</si>
  <si>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</si>
  <si>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</si>
  <si>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</si>
  <si>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</si>
  <si>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</si>
  <si>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</si>
  <si>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</si>
  <si>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</si>
  <si>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</si>
  <si>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</si>
  <si>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</si>
  <si>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</si>
  <si>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</si>
  <si>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</si>
  <si>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</si>
  <si>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</si>
  <si>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</si>
  <si>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</si>
  <si>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</si>
  <si>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</si>
  <si>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</si>
  <si>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</si>
  <si>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</si>
  <si>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</si>
  <si>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</si>
  <si>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</si>
  <si>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</si>
  <si>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</si>
  <si>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</si>
  <si>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</si>
  <si>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</si>
  <si>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</si>
  <si>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</si>
  <si>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</si>
  <si>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</si>
  <si>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</si>
  <si>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</si>
  <si>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</si>
  <si>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</si>
  <si>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</si>
  <si>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</si>
  <si>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</si>
  <si>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</si>
  <si>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</si>
  <si>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</si>
  <si>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</si>
  <si>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</si>
  <si>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</si>
  <si>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</si>
  <si>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</si>
  <si>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</si>
  <si>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</si>
  <si>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</si>
  <si>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</si>
  <si>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</si>
  <si>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</si>
  <si>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</si>
  <si>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</si>
  <si>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</si>
  <si>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</si>
  <si>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</si>
  <si>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</si>
  <si>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</si>
  <si>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</si>
  <si>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</si>
  <si>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</si>
  <si>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</si>
  <si>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</si>
  <si>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</si>
  <si>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</si>
  <si>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</si>
  <si>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</si>
  <si>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</si>
  <si>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</si>
  <si>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</si>
  <si>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</si>
  <si>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</si>
  <si>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</si>
  <si>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</si>
  <si>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</si>
  <si>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</si>
  <si>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</si>
  <si>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</si>
  <si>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</si>
  <si>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</si>
  <si>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</si>
  <si>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</si>
  <si>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</si>
  <si>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</si>
  <si>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</si>
  <si>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</si>
  <si>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</si>
  <si>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</si>
  <si>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</si>
  <si>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</si>
  <si>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</si>
  <si>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</si>
  <si>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</si>
  <si>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</si>
  <si>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</si>
  <si>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</si>
  <si>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</si>
  <si>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</si>
  <si>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</si>
  <si>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</si>
  <si>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</si>
  <si>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</si>
  <si>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</si>
  <si>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</si>
  <si>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</si>
  <si>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</si>
  <si>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</si>
  <si>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</si>
  <si>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</si>
  <si>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</si>
  <si>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</si>
  <si>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</si>
  <si>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</si>
  <si>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</si>
  <si>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</si>
  <si>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</si>
  <si>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</si>
  <si>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</si>
  <si>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</si>
  <si>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</si>
  <si>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</si>
  <si>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</si>
  <si>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</si>
  <si>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</si>
  <si>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</si>
  <si>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</si>
  <si>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</si>
  <si>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</si>
  <si>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</si>
  <si>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</si>
  <si>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</si>
  <si>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</si>
  <si>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</si>
  <si>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</si>
  <si>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</si>
  <si>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</si>
  <si>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</si>
  <si>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</si>
  <si>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</si>
  <si>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</si>
  <si>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</si>
  <si>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</si>
  <si>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</si>
  <si>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</si>
  <si>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</si>
  <si>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</si>
  <si>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</si>
  <si>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</si>
  <si>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</si>
  <si>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</si>
  <si>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</si>
  <si>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</si>
  <si>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</si>
  <si>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</si>
  <si>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</si>
  <si>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</si>
  <si>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</si>
  <si>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</si>
  <si>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</si>
  <si>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</si>
  <si>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</si>
  <si>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</si>
  <si>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</si>
  <si>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</si>
  <si>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</si>
  <si>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</si>
  <si>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</si>
  <si>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</si>
  <si>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</si>
  <si>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</si>
  <si>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</si>
  <si>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</si>
  <si>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</si>
  <si>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</si>
  <si>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</si>
  <si>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</si>
  <si>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</si>
  <si>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</si>
  <si>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</si>
  <si>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</si>
  <si>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</si>
  <si>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</si>
  <si>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</si>
  <si>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</si>
  <si>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</si>
  <si>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</si>
  <si>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</si>
  <si>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</si>
  <si>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</si>
  <si>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</si>
  <si>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</si>
  <si>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</si>
  <si>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</si>
  <si>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</si>
  <si>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</si>
  <si>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</si>
  <si>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</si>
  <si>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</si>
  <si>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</si>
  <si>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</si>
  <si>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</si>
  <si>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</si>
  <si>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</si>
  <si>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</si>
  <si>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</si>
  <si>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</si>
  <si>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</si>
  <si>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</si>
  <si>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</si>
  <si>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</si>
  <si>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</si>
  <si>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</si>
  <si>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</si>
  <si>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</si>
  <si>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</si>
  <si>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</si>
  <si>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</si>
  <si>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</si>
  <si>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</si>
  <si>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</si>
  <si>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</si>
  <si>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</si>
  <si>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</si>
  <si>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</si>
  <si>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</si>
  <si>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</si>
  <si>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</si>
  <si>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</si>
  <si>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</si>
  <si>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</si>
  <si>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</si>
  <si>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</si>
  <si>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</si>
  <si>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</si>
  <si>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</si>
  <si>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</si>
  <si>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</si>
  <si>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</si>
  <si>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</si>
  <si>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</si>
  <si>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</si>
  <si>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</si>
  <si>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</si>
  <si>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</si>
  <si>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</si>
  <si>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</si>
  <si>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</si>
  <si>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</si>
  <si>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</si>
  <si>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</si>
  <si>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</si>
  <si>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</si>
  <si>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</si>
  <si>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</si>
  <si>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</si>
  <si>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</si>
  <si>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</si>
  <si>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</si>
  <si>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</si>
  <si>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</si>
  <si>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</si>
  <si>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</si>
  <si>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</si>
  <si>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</si>
  <si>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</si>
  <si>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</si>
  <si>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</si>
  <si>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</si>
  <si>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</si>
  <si>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</si>
  <si>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</si>
  <si>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</si>
  <si>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</si>
  <si>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</si>
  <si>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</si>
  <si>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</si>
  <si>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</si>
  <si>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</si>
  <si>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</si>
  <si>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</si>
  <si>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</si>
  <si>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</si>
  <si>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</si>
  <si>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</si>
  <si>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</si>
  <si>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</si>
  <si>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</si>
  <si>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</si>
  <si>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</si>
  <si>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</si>
  <si>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</si>
  <si>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</si>
  <si>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</si>
  <si>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</si>
  <si>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</si>
  <si>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</si>
  <si>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</si>
  <si>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</si>
  <si>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</si>
  <si>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</si>
  <si>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</si>
  <si>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</si>
  <si>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</si>
  <si>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</si>
  <si>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</si>
  <si>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</si>
  <si>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</si>
  <si>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</si>
  <si>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</si>
  <si>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</si>
  <si>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</si>
  <si>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</si>
  <si>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</si>
  <si>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</si>
  <si>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</si>
  <si>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</si>
  <si>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</si>
  <si>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</si>
  <si>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</si>
  <si>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</si>
  <si>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</si>
  <si>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</si>
  <si>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</si>
  <si>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</si>
  <si>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</si>
  <si>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</si>
  <si>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</si>
  <si>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</si>
  <si>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</si>
  <si>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</si>
  <si>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</si>
  <si>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</si>
  <si>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</si>
  <si>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</si>
  <si>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</si>
  <si>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</si>
  <si>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</si>
  <si>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</si>
  <si>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</si>
  <si>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</si>
  <si>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</si>
  <si>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</si>
  <si>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</si>
  <si>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</si>
  <si>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</si>
  <si>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</si>
  <si>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</si>
  <si>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</si>
  <si>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</si>
  <si>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</si>
  <si>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</si>
  <si>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</si>
  <si>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</si>
  <si>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</si>
  <si>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</si>
  <si>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</si>
  <si>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</si>
  <si>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</si>
  <si>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</si>
  <si>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</si>
  <si>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</si>
  <si>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</si>
  <si>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</si>
  <si>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</si>
  <si>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</si>
  <si>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</si>
  <si>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</si>
  <si>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</si>
  <si>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</si>
  <si>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</si>
  <si>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</si>
  <si>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</si>
  <si>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</si>
  <si>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</si>
  <si>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</si>
  <si>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</si>
  <si>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</si>
  <si>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</si>
  <si>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</si>
  <si>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</si>
  <si>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</si>
  <si>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</si>
  <si>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</si>
  <si>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</si>
  <si>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</si>
  <si>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</si>
  <si>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</si>
  <si>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</si>
  <si>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</si>
  <si>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</si>
  <si>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</si>
  <si>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</si>
  <si>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</si>
  <si>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</si>
  <si>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</si>
  <si>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</si>
  <si>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</si>
  <si>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</si>
  <si>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</si>
  <si>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</si>
  <si>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</si>
  <si>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</si>
  <si>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</si>
  <si>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</si>
  <si>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</si>
  <si>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</si>
  <si>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</si>
  <si>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</si>
  <si>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</si>
  <si>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</si>
  <si>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</si>
  <si>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</si>
  <si>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</si>
  <si>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</si>
  <si>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</si>
  <si>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</si>
  <si>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</si>
  <si>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</si>
  <si>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</si>
  <si>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</si>
  <si>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</si>
  <si>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</si>
  <si>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</si>
  <si>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</si>
  <si>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</si>
  <si>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</si>
  <si>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</si>
  <si>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</si>
  <si>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</si>
  <si>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</si>
  <si>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</si>
  <si>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</si>
  <si>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</si>
  <si>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</si>
  <si>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</si>
  <si>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</si>
  <si>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</si>
  <si>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</si>
  <si>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</si>
  <si>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</si>
  <si>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</si>
  <si>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</si>
  <si>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</si>
  <si>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</si>
  <si>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</si>
  <si>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</si>
  <si>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</si>
  <si>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</si>
  <si>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</si>
  <si>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</si>
  <si>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</si>
  <si>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</si>
  <si>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</si>
  <si>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</si>
  <si>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</si>
  <si>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</si>
  <si>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</si>
  <si>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</si>
  <si>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</si>
  <si>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</si>
  <si>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</si>
  <si>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</si>
  <si>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</si>
  <si>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</si>
  <si>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</si>
  <si>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</si>
  <si>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</si>
  <si>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</si>
  <si>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</si>
  <si>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</si>
  <si>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</si>
  <si>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</si>
  <si>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</si>
  <si>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</si>
  <si>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</si>
  <si>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</si>
  <si>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</si>
  <si>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</si>
  <si>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</si>
  <si>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</si>
  <si>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</si>
  <si>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</si>
  <si>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</si>
  <si>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</si>
  <si>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</si>
  <si>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</si>
  <si>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</si>
  <si>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</si>
  <si>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</si>
  <si>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</si>
  <si>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</si>
  <si>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</si>
  <si>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</si>
  <si>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</si>
  <si>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</si>
  <si>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</si>
  <si>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</si>
  <si>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</si>
  <si>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</si>
  <si>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</si>
  <si>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</si>
  <si>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</si>
  <si>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</si>
  <si>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</si>
  <si>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</si>
  <si>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</si>
  <si>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</si>
  <si>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</si>
  <si>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</si>
  <si>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</si>
  <si>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</si>
  <si>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</si>
  <si>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</si>
  <si>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</si>
  <si>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</si>
  <si>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</si>
  <si>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</si>
  <si>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</si>
  <si>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</si>
  <si>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</si>
  <si>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</si>
  <si>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</si>
  <si>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</si>
  <si>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</si>
  <si>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</si>
  <si>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</si>
  <si>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</si>
  <si>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</si>
  <si>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</si>
  <si>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</si>
  <si>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</si>
  <si>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</si>
  <si>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</si>
  <si>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</si>
  <si>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</si>
  <si>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</si>
  <si>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</si>
  <si>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</si>
  <si>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</si>
  <si>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</si>
  <si>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</si>
  <si>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</si>
  <si>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</si>
  <si>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</si>
  <si>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</si>
  <si>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</si>
  <si>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</si>
  <si>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</si>
  <si>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</si>
  <si>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</si>
  <si>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</si>
  <si>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</si>
  <si>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</si>
  <si>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</si>
  <si>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</si>
  <si>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</si>
  <si>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</si>
  <si>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</si>
  <si>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</si>
  <si>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</si>
  <si>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</si>
  <si>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</si>
  <si>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</si>
  <si>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</si>
  <si>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</si>
  <si>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</si>
  <si>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</si>
  <si>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</si>
  <si>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</si>
  <si>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</si>
  <si>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</si>
  <si>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</si>
  <si>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</si>
  <si>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</si>
  <si>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</si>
  <si>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</si>
  <si>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</si>
  <si>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</si>
  <si>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</si>
  <si>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</si>
  <si>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</si>
  <si>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</si>
  <si>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</si>
  <si>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</si>
  <si>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</si>
  <si>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</si>
  <si>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</si>
  <si>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</si>
  <si>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</si>
  <si>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</si>
  <si>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</si>
  <si>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</si>
  <si>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</si>
  <si>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</si>
  <si>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</si>
  <si>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</si>
  <si>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</si>
  <si>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</si>
  <si>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</si>
  <si>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</si>
  <si>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</si>
  <si>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</si>
  <si>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</si>
  <si>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</si>
  <si>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</si>
  <si>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</si>
  <si>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</si>
  <si>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</si>
  <si>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</si>
  <si>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</si>
  <si>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</si>
  <si>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</si>
  <si>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</si>
  <si>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</si>
  <si>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</si>
  <si>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</si>
  <si>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</si>
  <si>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</si>
  <si>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</si>
  <si>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</si>
  <si>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</si>
  <si>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</si>
  <si>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</si>
  <si>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</si>
  <si>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</si>
  <si>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</si>
  <si>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</si>
  <si>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</si>
  <si>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</si>
  <si>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</si>
  <si>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</si>
  <si>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</si>
  <si>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</si>
  <si>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</si>
  <si>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</si>
  <si>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</si>
  <si>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</si>
  <si>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</si>
  <si>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</si>
  <si>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</si>
  <si>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</si>
  <si>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</si>
  <si>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</si>
  <si>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</si>
  <si>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</si>
  <si>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</si>
  <si>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</si>
  <si>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</si>
  <si>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</si>
  <si>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</si>
  <si>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</si>
  <si>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</si>
  <si>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</si>
  <si>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</si>
  <si>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</si>
  <si>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</si>
  <si>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</si>
  <si>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</si>
  <si>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</si>
  <si>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</si>
  <si>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</si>
  <si>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</si>
  <si>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</si>
  <si>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</si>
  <si>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</si>
  <si>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</si>
  <si>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</si>
  <si>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</si>
  <si>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</si>
  <si>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</si>
  <si>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</si>
  <si>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</si>
  <si>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</si>
  <si>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</si>
  <si>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</si>
  <si>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</si>
  <si>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</si>
  <si>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</si>
  <si>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</si>
  <si>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</si>
  <si>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</si>
  <si>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</si>
  <si>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</si>
  <si>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</si>
  <si>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</si>
  <si>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</si>
  <si>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</si>
  <si>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</si>
  <si>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</si>
  <si>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</si>
  <si>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</si>
  <si>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</si>
  <si>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</si>
  <si>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</si>
  <si>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</si>
  <si>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</si>
  <si>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</si>
  <si>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</si>
  <si>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</si>
  <si>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</si>
  <si>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</si>
  <si>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</si>
  <si>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</si>
  <si>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</si>
  <si>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</si>
  <si>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</si>
  <si>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</si>
  <si>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</si>
  <si>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</si>
  <si>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</si>
  <si>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</si>
  <si>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</si>
  <si>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</si>
  <si>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</si>
  <si>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</si>
  <si>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</si>
  <si>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</si>
  <si>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</si>
  <si>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</si>
  <si>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</si>
  <si>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</si>
  <si>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</si>
  <si>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</si>
  <si>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</si>
  <si>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</si>
  <si>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</si>
  <si>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</si>
  <si>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</si>
  <si>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</si>
  <si>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</si>
  <si>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</si>
  <si>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</si>
  <si>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</si>
  <si>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</si>
  <si>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</si>
  <si>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</si>
  <si>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</si>
  <si>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</si>
  <si>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</si>
  <si>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</si>
  <si>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</si>
  <si>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</si>
  <si>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</si>
  <si>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</si>
  <si>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</si>
  <si>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</si>
  <si>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</si>
  <si>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</si>
  <si>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</si>
  <si>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</si>
  <si>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</si>
  <si>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</si>
  <si>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</si>
  <si>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</si>
  <si>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</si>
  <si>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</si>
  <si>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</si>
  <si>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</si>
  <si>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</si>
  <si>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</si>
  <si>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</si>
  <si>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</si>
  <si>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</si>
  <si>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</si>
  <si>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</si>
  <si>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</si>
  <si>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</si>
  <si>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</si>
  <si>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</si>
  <si>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</si>
  <si>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</si>
  <si>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</si>
  <si>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</si>
  <si>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</si>
  <si>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</si>
  <si>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</si>
  <si>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</si>
  <si>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</si>
  <si>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</si>
  <si>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</si>
  <si>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</si>
  <si>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</si>
  <si>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</si>
  <si>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</si>
  <si>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</si>
  <si>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</si>
  <si>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</si>
  <si>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</si>
  <si>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</si>
  <si>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</si>
  <si>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</si>
  <si>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</si>
  <si>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</si>
  <si>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</si>
  <si>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</si>
  <si>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</si>
  <si>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</si>
  <si>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</si>
  <si>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</si>
  <si>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</si>
  <si>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</si>
  <si>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</si>
  <si>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</si>
  <si>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</si>
  <si>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</si>
  <si>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</si>
  <si>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</si>
  <si>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</si>
  <si>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</si>
  <si>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</si>
  <si>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</si>
  <si>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</si>
  <si>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</si>
  <si>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</si>
  <si>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</si>
  <si>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</si>
  <si>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</si>
  <si>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</si>
  <si>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</si>
  <si>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</si>
  <si>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</si>
  <si>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</si>
  <si>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</si>
  <si>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</si>
  <si>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</si>
  <si>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</si>
  <si>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</si>
  <si>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</si>
  <si>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</si>
  <si>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</si>
  <si>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</si>
  <si>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</si>
  <si>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</si>
  <si>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</si>
  <si>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</si>
  <si>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</si>
  <si>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</si>
  <si>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</si>
  <si>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</si>
  <si>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</si>
  <si>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</si>
  <si>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</si>
  <si>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</si>
  <si>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</si>
  <si>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</si>
  <si>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</si>
  <si>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</si>
  <si>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</si>
  <si>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</si>
  <si>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</si>
  <si>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</si>
  <si>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</si>
  <si>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</si>
  <si>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</si>
  <si>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</si>
  <si>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</si>
  <si>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</si>
  <si>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</si>
  <si>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</si>
  <si>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</si>
  <si>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</si>
  <si>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</si>
  <si>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</si>
  <si>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</si>
  <si>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</si>
  <si>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</si>
  <si>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</si>
  <si>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</si>
  <si>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</si>
  <si>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</si>
  <si>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</si>
  <si>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</si>
  <si>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</si>
  <si>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</si>
  <si>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</si>
  <si>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</si>
  <si>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</si>
  <si>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</si>
  <si>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</si>
  <si>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</si>
  <si>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use paste special</t>
  </si>
  <si>
    <t>TEXTBEFORE(text, delimiter, [instance_num], [match_mode], [match_end], [if_not_found])</t>
  </si>
  <si>
    <t>Parameters:</t>
  </si>
  <si>
    <t>Positive (e.g., 1, 2) → counts from start.</t>
  </si>
  <si>
    <t>Negative (e.g., -1, -2) → counts from end.</t>
  </si>
  <si>
    <t>Default = 1.</t>
  </si>
  <si>
    <t>0 → Case-sensitive (default).</t>
  </si>
  <si>
    <t>1 → Case-insensitive.</t>
  </si>
  <si>
    <t>0 → Don’t treat end of text as delimiter (default).</t>
  </si>
  <si>
    <t>1 → Treat as delimiter.</t>
  </si>
  <si>
    <t>1. Basic Example (First Name from Full Name)</t>
  </si>
  <si>
    <t>2. Extract Domain from Email</t>
  </si>
  <si>
    <t>3. Get First Word from a Sentence</t>
  </si>
  <si>
    <t>4. Extract Part Before Second Comma</t>
  </si>
  <si>
    <t>5. Using Negative Instance (from End)</t>
  </si>
  <si>
    <t>6. Case-Insensitive Match</t>
  </si>
  <si>
    <t>7. Custom Value if Delimiter Not Found</t>
  </si>
  <si>
    <t>⚠️ Limitations</t>
  </si>
  <si>
    <t xml:space="preserve"> TEXTBEFORE Function in Excel</t>
  </si>
  <si>
    <t xml:space="preserve"> Syntax</t>
  </si>
  <si>
    <r>
      <t xml:space="preserve">The </t>
    </r>
    <r>
      <rPr>
        <b/>
        <sz val="14"/>
        <color theme="3"/>
        <rFont val="Trebuchet MS"/>
        <family val="2"/>
        <scheme val="minor"/>
      </rPr>
      <t>TEXTBEFORE function</t>
    </r>
    <r>
      <rPr>
        <sz val="14"/>
        <color theme="3"/>
        <rFont val="Trebuchet MS"/>
        <family val="2"/>
        <scheme val="minor"/>
      </rPr>
      <t xml:space="preserve"> returns all the text that appears </t>
    </r>
    <r>
      <rPr>
        <b/>
        <sz val="14"/>
        <color theme="3"/>
        <rFont val="Trebuchet MS"/>
        <family val="2"/>
        <scheme val="minor"/>
      </rPr>
      <t>before a specific delimiter (character or string)</t>
    </r>
    <r>
      <rPr>
        <sz val="14"/>
        <color theme="3"/>
        <rFont val="Trebuchet MS"/>
        <family val="2"/>
        <scheme val="minor"/>
      </rPr>
      <t xml:space="preserve"> in a text string.</t>
    </r>
  </si>
  <si>
    <r>
      <t xml:space="preserve">It is a </t>
    </r>
    <r>
      <rPr>
        <b/>
        <sz val="14"/>
        <color theme="3"/>
        <rFont val="Trebuchet MS"/>
        <family val="2"/>
        <scheme val="minor"/>
      </rPr>
      <t>new text function</t>
    </r>
    <r>
      <rPr>
        <sz val="14"/>
        <color theme="3"/>
        <rFont val="Trebuchet MS"/>
        <family val="2"/>
        <scheme val="minor"/>
      </rPr>
      <t xml:space="preserve"> introduced in Excel 365 &amp; Excel 2021.</t>
    </r>
  </si>
  <si>
    <r>
      <t>1. text</t>
    </r>
    <r>
      <rPr>
        <sz val="14"/>
        <color theme="3"/>
        <rFont val="Trebuchet MS"/>
        <family val="2"/>
        <scheme val="minor"/>
      </rPr>
      <t xml:space="preserve"> → The text you want to extract from.</t>
    </r>
  </si>
  <si>
    <r>
      <t>2. delimiter</t>
    </r>
    <r>
      <rPr>
        <sz val="14"/>
        <color theme="3"/>
        <rFont val="Trebuchet MS"/>
        <family val="2"/>
        <scheme val="minor"/>
      </rPr>
      <t xml:space="preserve"> → The character(s) before which text will be extracted.</t>
    </r>
  </si>
  <si>
    <r>
      <t>3. [instance_num]</t>
    </r>
    <r>
      <rPr>
        <sz val="14"/>
        <color theme="3"/>
        <rFont val="Trebuchet MS"/>
        <family val="2"/>
        <scheme val="minor"/>
      </rPr>
      <t xml:space="preserve"> </t>
    </r>
    <r>
      <rPr>
        <i/>
        <sz val="14"/>
        <color theme="3"/>
        <rFont val="Trebuchet MS"/>
        <family val="2"/>
        <scheme val="minor"/>
      </rPr>
      <t>(optional)</t>
    </r>
    <r>
      <rPr>
        <sz val="14"/>
        <color theme="3"/>
        <rFont val="Trebuchet MS"/>
        <family val="2"/>
        <scheme val="minor"/>
      </rPr>
      <t xml:space="preserve"> → Specifies which occurrence of the delimiter to use.</t>
    </r>
  </si>
  <si>
    <t xml:space="preserve"> Definition</t>
  </si>
  <si>
    <r>
      <t>4. [match_mode]</t>
    </r>
    <r>
      <rPr>
        <sz val="14"/>
        <color theme="3"/>
        <rFont val="Trebuchet MS"/>
        <family val="2"/>
        <scheme val="minor"/>
      </rPr>
      <t xml:space="preserve"> </t>
    </r>
    <r>
      <rPr>
        <i/>
        <sz val="14"/>
        <color theme="3"/>
        <rFont val="Trebuchet MS"/>
        <family val="2"/>
        <scheme val="minor"/>
      </rPr>
      <t>(optional)</t>
    </r>
    <r>
      <rPr>
        <sz val="14"/>
        <color theme="3"/>
        <rFont val="Trebuchet MS"/>
        <family val="2"/>
        <scheme val="minor"/>
      </rPr>
      <t xml:space="preserve"> → Case sensitivity.</t>
    </r>
  </si>
  <si>
    <r>
      <t>5. [match_end]</t>
    </r>
    <r>
      <rPr>
        <sz val="14"/>
        <color theme="3"/>
        <rFont val="Trebuchet MS"/>
        <family val="2"/>
        <scheme val="minor"/>
      </rPr>
      <t xml:space="preserve"> </t>
    </r>
    <r>
      <rPr>
        <i/>
        <sz val="14"/>
        <color theme="3"/>
        <rFont val="Trebuchet MS"/>
        <family val="2"/>
        <scheme val="minor"/>
      </rPr>
      <t>(optional)</t>
    </r>
    <r>
      <rPr>
        <sz val="14"/>
        <color theme="3"/>
        <rFont val="Trebuchet MS"/>
        <family val="2"/>
        <scheme val="minor"/>
      </rPr>
      <t xml:space="preserve"> → Treat end of text as delimiter.</t>
    </r>
  </si>
  <si>
    <r>
      <t>6. [if_not_found]</t>
    </r>
    <r>
      <rPr>
        <sz val="14"/>
        <color theme="3"/>
        <rFont val="Trebuchet MS"/>
        <family val="2"/>
        <scheme val="minor"/>
      </rPr>
      <t xml:space="preserve"> </t>
    </r>
    <r>
      <rPr>
        <i/>
        <sz val="14"/>
        <color theme="3"/>
        <rFont val="Trebuchet MS"/>
        <family val="2"/>
        <scheme val="minor"/>
      </rPr>
      <t>(optional)</t>
    </r>
    <r>
      <rPr>
        <sz val="14"/>
        <color theme="3"/>
        <rFont val="Trebuchet MS"/>
        <family val="2"/>
        <scheme val="minor"/>
      </rPr>
      <t xml:space="preserve"> → Value returned if delimiter not found.</t>
    </r>
  </si>
  <si>
    <r>
      <t xml:space="preserve">Default → </t>
    </r>
    <r>
      <rPr>
        <sz val="10"/>
        <color theme="3"/>
        <rFont val="Arial Unicode MS"/>
      </rPr>
      <t>#N/A</t>
    </r>
    <r>
      <rPr>
        <sz val="14"/>
        <color theme="3"/>
        <rFont val="Trebuchet MS"/>
        <family val="2"/>
        <scheme val="minor"/>
      </rPr>
      <t xml:space="preserve"> error.</t>
    </r>
  </si>
  <si>
    <r>
      <t>1. Extract first name</t>
    </r>
    <r>
      <rPr>
        <sz val="14"/>
        <color theme="3"/>
        <rFont val="Trebuchet MS"/>
        <family val="2"/>
        <scheme val="minor"/>
      </rPr>
      <t xml:space="preserve"> from full names.</t>
    </r>
  </si>
  <si>
    <r>
      <t>2. Get username</t>
    </r>
    <r>
      <rPr>
        <sz val="14"/>
        <color theme="3"/>
        <rFont val="Trebuchet MS"/>
        <family val="2"/>
        <scheme val="minor"/>
      </rPr>
      <t xml:space="preserve"> from email addresses.</t>
    </r>
  </si>
  <si>
    <r>
      <t>3. Split product codes</t>
    </r>
    <r>
      <rPr>
        <sz val="14"/>
        <color theme="3"/>
        <rFont val="Trebuchet MS"/>
        <family val="2"/>
        <scheme val="minor"/>
      </rPr>
      <t xml:space="preserve"> (e.g., "PRD-1234" → "PRD").</t>
    </r>
  </si>
  <si>
    <r>
      <t>4. Parse file names</t>
    </r>
    <r>
      <rPr>
        <sz val="14"/>
        <color theme="3"/>
        <rFont val="Trebuchet MS"/>
        <family val="2"/>
        <scheme val="minor"/>
      </rPr>
      <t xml:space="preserve"> before extensions (e.g., "report.xlsx" → "report").</t>
    </r>
  </si>
  <si>
    <r>
      <t>5. Get text before symbols</t>
    </r>
    <r>
      <rPr>
        <sz val="14"/>
        <color theme="3"/>
        <rFont val="Trebuchet MS"/>
        <family val="2"/>
        <scheme val="minor"/>
      </rPr>
      <t xml:space="preserve"> (like </t>
    </r>
    <r>
      <rPr>
        <sz val="10"/>
        <color theme="3"/>
        <rFont val="Arial Unicode MS"/>
      </rPr>
      <t>@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#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-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,</t>
    </r>
    <r>
      <rPr>
        <sz val="14"/>
        <color theme="3"/>
        <rFont val="Trebuchet MS"/>
        <family val="2"/>
        <scheme val="minor"/>
      </rPr>
      <t>).</t>
    </r>
  </si>
  <si>
    <r>
      <t xml:space="preserve">Very useful in </t>
    </r>
    <r>
      <rPr>
        <b/>
        <sz val="14"/>
        <color theme="3"/>
        <rFont val="Trebuchet MS"/>
        <family val="2"/>
        <scheme val="minor"/>
      </rPr>
      <t>text extraction</t>
    </r>
    <r>
      <rPr>
        <sz val="14"/>
        <color theme="3"/>
        <rFont val="Trebuchet MS"/>
        <family val="2"/>
        <scheme val="minor"/>
      </rPr>
      <t xml:space="preserve"> and </t>
    </r>
    <r>
      <rPr>
        <b/>
        <sz val="14"/>
        <color theme="3"/>
        <rFont val="Trebuchet MS"/>
        <family val="2"/>
        <scheme val="minor"/>
      </rPr>
      <t>string cleaning</t>
    </r>
    <r>
      <rPr>
        <sz val="14"/>
        <color theme="3"/>
        <rFont val="Trebuchet MS"/>
        <family val="2"/>
        <scheme val="minor"/>
      </rPr>
      <t>.</t>
    </r>
  </si>
  <si>
    <r>
      <t xml:space="preserve">Handles </t>
    </r>
    <r>
      <rPr>
        <b/>
        <sz val="14"/>
        <color theme="3"/>
        <rFont val="Trebuchet MS"/>
        <family val="2"/>
        <scheme val="minor"/>
      </rPr>
      <t>multiple delimiters and instances</t>
    </r>
    <r>
      <rPr>
        <sz val="14"/>
        <color theme="3"/>
        <rFont val="Trebuchet MS"/>
        <family val="2"/>
        <scheme val="minor"/>
      </rPr>
      <t>.</t>
    </r>
  </si>
  <si>
    <r>
      <t xml:space="preserve">Supports </t>
    </r>
    <r>
      <rPr>
        <b/>
        <sz val="14"/>
        <color theme="3"/>
        <rFont val="Trebuchet MS"/>
        <family val="2"/>
        <scheme val="minor"/>
      </rPr>
      <t>case-sensitive/insensitive search</t>
    </r>
    <r>
      <rPr>
        <sz val="14"/>
        <color theme="3"/>
        <rFont val="Trebuchet MS"/>
        <family val="2"/>
        <scheme val="minor"/>
      </rPr>
      <t>.</t>
    </r>
  </si>
  <si>
    <r>
      <t xml:space="preserve">Allows </t>
    </r>
    <r>
      <rPr>
        <b/>
        <sz val="14"/>
        <color theme="3"/>
        <rFont val="Trebuchet MS"/>
        <family val="2"/>
        <scheme val="minor"/>
      </rPr>
      <t>default values</t>
    </r>
    <r>
      <rPr>
        <sz val="14"/>
        <color theme="3"/>
        <rFont val="Trebuchet MS"/>
        <family val="2"/>
        <scheme val="minor"/>
      </rPr>
      <t xml:space="preserve"> when no delimiter is found.</t>
    </r>
  </si>
  <si>
    <r>
      <t xml:space="preserve">Works well with </t>
    </r>
    <r>
      <rPr>
        <b/>
        <sz val="14"/>
        <color theme="3"/>
        <rFont val="Trebuchet MS"/>
        <family val="2"/>
        <scheme val="minor"/>
      </rPr>
      <t>dynamic arrays</t>
    </r>
    <r>
      <rPr>
        <sz val="14"/>
        <color theme="3"/>
        <rFont val="Trebuchet MS"/>
        <family val="2"/>
        <scheme val="minor"/>
      </rPr>
      <t xml:space="preserve"> and </t>
    </r>
    <r>
      <rPr>
        <b/>
        <sz val="14"/>
        <color theme="3"/>
        <rFont val="Trebuchet MS"/>
        <family val="2"/>
        <scheme val="minor"/>
      </rPr>
      <t>other text functions</t>
    </r>
    <r>
      <rPr>
        <sz val="14"/>
        <color theme="3"/>
        <rFont val="Trebuchet MS"/>
        <family val="2"/>
        <scheme val="minor"/>
      </rPr>
      <t xml:space="preserve"> (</t>
    </r>
    <r>
      <rPr>
        <sz val="10"/>
        <color theme="3"/>
        <rFont val="Arial Unicode MS"/>
      </rPr>
      <t>TEXTAFTER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TEXTSPLIT</t>
    </r>
    <r>
      <rPr>
        <sz val="14"/>
        <color theme="3"/>
        <rFont val="Trebuchet MS"/>
        <family val="2"/>
        <scheme val="minor"/>
      </rPr>
      <t>).</t>
    </r>
  </si>
  <si>
    <r>
      <t xml:space="preserve">1. Available only in </t>
    </r>
    <r>
      <rPr>
        <b/>
        <sz val="14"/>
        <color theme="3"/>
        <rFont val="Trebuchet MS"/>
        <family val="2"/>
        <scheme val="minor"/>
      </rPr>
      <t>Excel 365 and Excel 2021</t>
    </r>
    <r>
      <rPr>
        <sz val="14"/>
        <color theme="3"/>
        <rFont val="Trebuchet MS"/>
        <family val="2"/>
        <scheme val="minor"/>
      </rPr>
      <t xml:space="preserve"> (not in older versions).</t>
    </r>
  </si>
  <si>
    <r>
      <t xml:space="preserve">2. Requires a </t>
    </r>
    <r>
      <rPr>
        <b/>
        <sz val="14"/>
        <color theme="3"/>
        <rFont val="Trebuchet MS"/>
        <family val="2"/>
        <scheme val="minor"/>
      </rPr>
      <t>delimiter</t>
    </r>
    <r>
      <rPr>
        <sz val="14"/>
        <color theme="3"/>
        <rFont val="Trebuchet MS"/>
        <family val="2"/>
        <scheme val="minor"/>
      </rPr>
      <t xml:space="preserve"> → without it, function won’t work.</t>
    </r>
  </si>
  <si>
    <r>
      <t xml:space="preserve">3. If delimiter is not found and no </t>
    </r>
    <r>
      <rPr>
        <sz val="10"/>
        <color theme="3"/>
        <rFont val="Arial Unicode MS"/>
      </rPr>
      <t>if_not_found</t>
    </r>
    <r>
      <rPr>
        <sz val="14"/>
        <color theme="3"/>
        <rFont val="Trebuchet MS"/>
        <family val="2"/>
        <scheme val="minor"/>
      </rPr>
      <t xml:space="preserve"> is given → returns </t>
    </r>
    <r>
      <rPr>
        <sz val="10"/>
        <color theme="3"/>
        <rFont val="Arial Unicode MS"/>
      </rPr>
      <t>#N/A</t>
    </r>
    <r>
      <rPr>
        <sz val="14"/>
        <color theme="3"/>
        <rFont val="Trebuchet MS"/>
        <family val="2"/>
        <scheme val="minor"/>
      </rPr>
      <t>.</t>
    </r>
  </si>
  <si>
    <r>
      <t xml:space="preserve">4. Does not support </t>
    </r>
    <r>
      <rPr>
        <b/>
        <sz val="14"/>
        <color theme="3"/>
        <rFont val="Trebuchet MS"/>
        <family val="2"/>
        <scheme val="minor"/>
      </rPr>
      <t>regular expressions</t>
    </r>
    <r>
      <rPr>
        <sz val="14"/>
        <color theme="3"/>
        <rFont val="Trebuchet MS"/>
        <family val="2"/>
        <scheme val="minor"/>
      </rPr>
      <t xml:space="preserve"> (unlike some programming languages).</t>
    </r>
  </si>
  <si>
    <r>
      <t xml:space="preserve">The </t>
    </r>
    <r>
      <rPr>
        <b/>
        <sz val="14"/>
        <color theme="3"/>
        <rFont val="Trebuchet MS"/>
        <family val="2"/>
        <scheme val="minor"/>
      </rPr>
      <t>TEXTBEFORE function</t>
    </r>
    <r>
      <rPr>
        <sz val="14"/>
        <color theme="3"/>
        <rFont val="Trebuchet MS"/>
        <family val="2"/>
        <scheme val="minor"/>
      </rPr>
      <t xml:space="preserve"> is a modern text extraction tool in Excel that makes it </t>
    </r>
    <r>
      <rPr>
        <b/>
        <sz val="14"/>
        <color theme="3"/>
        <rFont val="Trebuchet MS"/>
        <family val="2"/>
        <scheme val="minor"/>
      </rPr>
      <t>easier and cleaner than LEFT + FIND/MID formulas</t>
    </r>
    <r>
      <rPr>
        <sz val="14"/>
        <color theme="3"/>
        <rFont val="Trebuchet MS"/>
        <family val="2"/>
        <scheme val="minor"/>
      </rPr>
      <t xml:space="preserve"> for getting text before a delimiter.</t>
    </r>
  </si>
  <si>
    <t>Summary:</t>
  </si>
  <si>
    <t xml:space="preserve"> Features</t>
  </si>
  <si>
    <t xml:space="preserve"> Use Cases</t>
  </si>
  <si>
    <r>
      <t xml:space="preserve"> Result: </t>
    </r>
    <r>
      <rPr>
        <b/>
        <sz val="14"/>
        <color theme="3"/>
        <rFont val="Trebuchet MS"/>
        <family val="2"/>
        <scheme val="minor"/>
      </rPr>
      <t>Not Found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</si>
  <si>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""</t>
    </r>
    <r>
      <rPr>
        <sz val="14"/>
        <color theme="3"/>
        <rFont val="Trebuchet MS"/>
        <family val="2"/>
        <scheme val="minor"/>
      </rPr>
      <t xml:space="preserve"> (empty string, because it matches case-insensitive at the start)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</si>
  <si>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Red,Blue,Green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</si>
  <si>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Red,Blue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</si>
  <si>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Excel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</si>
  <si>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ashwin123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</si>
  <si>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Ashwin</t>
    </r>
  </si>
  <si>
    <t xml:space="preserve"> Examples</t>
  </si>
  <si>
    <t>TEXTAFTER(text, delimiter, [instance_num], [match_mode], [match_end], [if_not_found])</t>
  </si>
  <si>
    <t>1. Get Last Name from Full Name</t>
  </si>
  <si>
    <t>3. Get Text After First Comma</t>
  </si>
  <si>
    <t>4. Get Text After Second Comma</t>
  </si>
  <si>
    <t>(because it ignores case)</t>
  </si>
  <si>
    <r>
      <t xml:space="preserve">The </t>
    </r>
    <r>
      <rPr>
        <b/>
        <sz val="14"/>
        <color theme="3"/>
        <rFont val="Trebuchet MS"/>
        <family val="2"/>
        <scheme val="minor"/>
      </rPr>
      <t>TEXTAFTER function</t>
    </r>
    <r>
      <rPr>
        <sz val="14"/>
        <color theme="3"/>
        <rFont val="Trebuchet MS"/>
        <family val="2"/>
        <scheme val="minor"/>
      </rPr>
      <t xml:space="preserve"> returns all the text that appears </t>
    </r>
    <r>
      <rPr>
        <b/>
        <sz val="14"/>
        <color theme="3"/>
        <rFont val="Trebuchet MS"/>
        <family val="2"/>
        <scheme val="minor"/>
      </rPr>
      <t>after a specific delimiter (character or string)</t>
    </r>
    <r>
      <rPr>
        <sz val="14"/>
        <color theme="3"/>
        <rFont val="Trebuchet MS"/>
        <family val="2"/>
        <scheme val="minor"/>
      </rPr>
      <t xml:space="preserve"> in a text string.</t>
    </r>
  </si>
  <si>
    <r>
      <t xml:space="preserve">It is mostly used to </t>
    </r>
    <r>
      <rPr>
        <b/>
        <sz val="14"/>
        <color theme="3"/>
        <rFont val="Trebuchet MS"/>
        <family val="2"/>
        <scheme val="minor"/>
      </rPr>
      <t>extract portions of text after a symbol, space, or word</t>
    </r>
    <r>
      <rPr>
        <sz val="14"/>
        <color theme="3"/>
        <rFont val="Trebuchet MS"/>
        <family val="2"/>
        <scheme val="minor"/>
      </rPr>
      <t xml:space="preserve"> — such as domain names, product IDs, or parts of file names.</t>
    </r>
  </si>
  <si>
    <r>
      <t>2. delimiter</t>
    </r>
    <r>
      <rPr>
        <sz val="14"/>
        <color theme="3"/>
        <rFont val="Trebuchet MS"/>
        <family val="2"/>
        <scheme val="minor"/>
      </rPr>
      <t xml:space="preserve"> → The character(s) after which text will be extracted.</t>
    </r>
  </si>
  <si>
    <r>
      <t xml:space="preserve">👉 Result: </t>
    </r>
    <r>
      <rPr>
        <b/>
        <sz val="14"/>
        <color theme="3"/>
        <rFont val="Trebuchet MS"/>
        <family val="2"/>
        <scheme val="minor"/>
      </rPr>
      <t>Green,Yellow</t>
    </r>
  </si>
  <si>
    <r>
      <t>1. Extract last name</t>
    </r>
    <r>
      <rPr>
        <sz val="14"/>
        <color theme="3"/>
        <rFont val="Trebuchet MS"/>
        <family val="2"/>
        <scheme val="minor"/>
      </rPr>
      <t xml:space="preserve"> from full names.</t>
    </r>
  </si>
  <si>
    <r>
      <t>2. Get domain names</t>
    </r>
    <r>
      <rPr>
        <sz val="14"/>
        <color theme="3"/>
        <rFont val="Trebuchet MS"/>
        <family val="2"/>
        <scheme val="minor"/>
      </rPr>
      <t xml:space="preserve"> from email addresses.</t>
    </r>
  </si>
  <si>
    <r>
      <t>3. Parse product IDs</t>
    </r>
    <r>
      <rPr>
        <sz val="14"/>
        <color theme="3"/>
        <rFont val="Trebuchet MS"/>
        <family val="2"/>
        <scheme val="minor"/>
      </rPr>
      <t xml:space="preserve"> after a dash (e.g., "PRD-1234" → "1234").</t>
    </r>
  </si>
  <si>
    <r>
      <t>4. Extract file extensions</t>
    </r>
    <r>
      <rPr>
        <sz val="14"/>
        <color theme="3"/>
        <rFont val="Trebuchet MS"/>
        <family val="2"/>
        <scheme val="minor"/>
      </rPr>
      <t xml:space="preserve"> (e.g., "report.xlsx" → "xlsx").</t>
    </r>
  </si>
  <si>
    <r>
      <t>5. Get part of sentences after keywords</t>
    </r>
    <r>
      <rPr>
        <sz val="14"/>
        <color theme="3"/>
        <rFont val="Trebuchet MS"/>
        <family val="2"/>
        <scheme val="minor"/>
      </rPr>
      <t>.</t>
    </r>
  </si>
  <si>
    <r>
      <t>6. Split CSV-style text</t>
    </r>
    <r>
      <rPr>
        <sz val="14"/>
        <color theme="3"/>
        <rFont val="Trebuchet MS"/>
        <family val="2"/>
        <scheme val="minor"/>
      </rPr>
      <t xml:space="preserve"> after commas.</t>
    </r>
  </si>
  <si>
    <r>
      <t xml:space="preserve">Extracts text dynamically </t>
    </r>
    <r>
      <rPr>
        <b/>
        <sz val="14"/>
        <color theme="3"/>
        <rFont val="Trebuchet MS"/>
        <family val="2"/>
        <scheme val="minor"/>
      </rPr>
      <t>after delimiters</t>
    </r>
    <r>
      <rPr>
        <sz val="14"/>
        <color theme="3"/>
        <rFont val="Trebuchet MS"/>
        <family val="2"/>
        <scheme val="minor"/>
      </rPr>
      <t>.</t>
    </r>
  </si>
  <si>
    <r>
      <t xml:space="preserve">Works with </t>
    </r>
    <r>
      <rPr>
        <b/>
        <sz val="14"/>
        <color theme="3"/>
        <rFont val="Trebuchet MS"/>
        <family val="2"/>
        <scheme val="minor"/>
      </rPr>
      <t>positive, negative, and multiple instances</t>
    </r>
    <r>
      <rPr>
        <sz val="14"/>
        <color theme="3"/>
        <rFont val="Trebuchet MS"/>
        <family val="2"/>
        <scheme val="minor"/>
      </rPr>
      <t>.</t>
    </r>
  </si>
  <si>
    <r>
      <t xml:space="preserve">Can be </t>
    </r>
    <r>
      <rPr>
        <b/>
        <sz val="14"/>
        <color theme="3"/>
        <rFont val="Trebuchet MS"/>
        <family val="2"/>
        <scheme val="minor"/>
      </rPr>
      <t>case-sensitive or case-insensitive</t>
    </r>
    <r>
      <rPr>
        <sz val="14"/>
        <color theme="3"/>
        <rFont val="Trebuchet MS"/>
        <family val="2"/>
        <scheme val="minor"/>
      </rPr>
      <t>.</t>
    </r>
  </si>
  <si>
    <r>
      <t xml:space="preserve">Pairs perfectly with </t>
    </r>
    <r>
      <rPr>
        <sz val="10"/>
        <color theme="3"/>
        <rFont val="Arial Unicode MS"/>
      </rPr>
      <t>TEXTBEFORE</t>
    </r>
    <r>
      <rPr>
        <sz val="14"/>
        <color theme="3"/>
        <rFont val="Trebuchet MS"/>
        <family val="2"/>
        <scheme val="minor"/>
      </rPr>
      <t xml:space="preserve"> and </t>
    </r>
    <r>
      <rPr>
        <sz val="10"/>
        <color theme="3"/>
        <rFont val="Arial Unicode MS"/>
      </rPr>
      <t>TEXTSPLIT</t>
    </r>
    <r>
      <rPr>
        <sz val="14"/>
        <color theme="3"/>
        <rFont val="Trebuchet MS"/>
        <family val="2"/>
        <scheme val="minor"/>
      </rPr>
      <t>.</t>
    </r>
  </si>
  <si>
    <r>
      <t xml:space="preserve">1. Only available in </t>
    </r>
    <r>
      <rPr>
        <b/>
        <sz val="14"/>
        <color theme="3"/>
        <rFont val="Trebuchet MS"/>
        <family val="2"/>
        <scheme val="minor"/>
      </rPr>
      <t>Excel 365 and Excel 2021</t>
    </r>
    <r>
      <rPr>
        <sz val="14"/>
        <color theme="3"/>
        <rFont val="Trebuchet MS"/>
        <family val="2"/>
        <scheme val="minor"/>
      </rPr>
      <t xml:space="preserve"> (not older versions).</t>
    </r>
  </si>
  <si>
    <r>
      <t xml:space="preserve">2. Requires a </t>
    </r>
    <r>
      <rPr>
        <b/>
        <sz val="14"/>
        <color theme="3"/>
        <rFont val="Trebuchet MS"/>
        <family val="2"/>
        <scheme val="minor"/>
      </rPr>
      <t>delimiter</t>
    </r>
    <r>
      <rPr>
        <sz val="14"/>
        <color theme="3"/>
        <rFont val="Trebuchet MS"/>
        <family val="2"/>
        <scheme val="minor"/>
      </rPr>
      <t xml:space="preserve"> to work.</t>
    </r>
  </si>
  <si>
    <r>
      <t xml:space="preserve">3. If delimiter not found and no </t>
    </r>
    <r>
      <rPr>
        <sz val="10"/>
        <color theme="3"/>
        <rFont val="Arial Unicode MS"/>
      </rPr>
      <t>if_not_found</t>
    </r>
    <r>
      <rPr>
        <sz val="14"/>
        <color theme="3"/>
        <rFont val="Trebuchet MS"/>
        <family val="2"/>
        <scheme val="minor"/>
      </rPr>
      <t xml:space="preserve"> is given → returns </t>
    </r>
    <r>
      <rPr>
        <sz val="10"/>
        <color theme="3"/>
        <rFont val="Arial Unicode MS"/>
      </rPr>
      <t>#N/A</t>
    </r>
    <r>
      <rPr>
        <sz val="14"/>
        <color theme="3"/>
        <rFont val="Trebuchet MS"/>
        <family val="2"/>
        <scheme val="minor"/>
      </rPr>
      <t>.</t>
    </r>
  </si>
  <si>
    <r>
      <t xml:space="preserve">4. Does not support </t>
    </r>
    <r>
      <rPr>
        <b/>
        <sz val="14"/>
        <color theme="3"/>
        <rFont val="Trebuchet MS"/>
        <family val="2"/>
        <scheme val="minor"/>
      </rPr>
      <t>regex patterns</t>
    </r>
    <r>
      <rPr>
        <sz val="14"/>
        <color theme="3"/>
        <rFont val="Trebuchet MS"/>
        <family val="2"/>
        <scheme val="minor"/>
      </rPr>
      <t xml:space="preserve"> (regular expressions).</t>
    </r>
  </si>
  <si>
    <r>
      <t xml:space="preserve">The </t>
    </r>
    <r>
      <rPr>
        <b/>
        <sz val="14"/>
        <color theme="3"/>
        <rFont val="Trebuchet MS"/>
        <family val="2"/>
        <scheme val="minor"/>
      </rPr>
      <t>TEXTAFTER function</t>
    </r>
    <r>
      <rPr>
        <sz val="14"/>
        <color theme="3"/>
        <rFont val="Trebuchet MS"/>
        <family val="2"/>
        <scheme val="minor"/>
      </rPr>
      <t xml:space="preserve"> is excellent for extracting anything that comes </t>
    </r>
    <r>
      <rPr>
        <b/>
        <sz val="14"/>
        <color theme="3"/>
        <rFont val="Trebuchet MS"/>
        <family val="2"/>
        <scheme val="minor"/>
      </rPr>
      <t>after a specific character or string</t>
    </r>
    <r>
      <rPr>
        <sz val="14"/>
        <color theme="3"/>
        <rFont val="Trebuchet MS"/>
        <family val="2"/>
        <scheme val="minor"/>
      </rPr>
      <t xml:space="preserve">. Together with </t>
    </r>
    <r>
      <rPr>
        <b/>
        <sz val="14"/>
        <color theme="3"/>
        <rFont val="Trebuchet MS"/>
        <family val="2"/>
        <scheme val="minor"/>
      </rPr>
      <t>TEXTBEFORE</t>
    </r>
    <r>
      <rPr>
        <sz val="14"/>
        <color theme="3"/>
        <rFont val="Trebuchet MS"/>
        <family val="2"/>
        <scheme val="minor"/>
      </rPr>
      <t xml:space="preserve">, it makes text extraction much simpler than older formulas like </t>
    </r>
    <r>
      <rPr>
        <sz val="10"/>
        <color theme="3"/>
        <rFont val="Arial Unicode MS"/>
      </rPr>
      <t>RIGHT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MID</t>
    </r>
    <r>
      <rPr>
        <sz val="14"/>
        <color theme="3"/>
        <rFont val="Trebuchet MS"/>
        <family val="2"/>
        <scheme val="minor"/>
      </rPr>
      <t xml:space="preserve">, </t>
    </r>
    <r>
      <rPr>
        <sz val="10"/>
        <color theme="3"/>
        <rFont val="Arial Unicode MS"/>
      </rPr>
      <t>FIND</t>
    </r>
    <r>
      <rPr>
        <sz val="14"/>
        <color theme="3"/>
        <rFont val="Trebuchet MS"/>
        <family val="2"/>
        <scheme val="minor"/>
      </rPr>
      <t xml:space="preserve">, and </t>
    </r>
    <r>
      <rPr>
        <sz val="10"/>
        <color theme="3"/>
        <rFont val="Arial Unicode MS"/>
      </rPr>
      <t>SEARCH</t>
    </r>
    <r>
      <rPr>
        <sz val="14"/>
        <color theme="3"/>
        <rFont val="Trebuchet MS"/>
        <family val="2"/>
        <scheme val="minor"/>
      </rPr>
      <t>.</t>
    </r>
  </si>
  <si>
    <t>Use Cases</t>
  </si>
  <si>
    <r>
      <t xml:space="preserve"> Result: </t>
    </r>
    <r>
      <rPr>
        <b/>
        <sz val="14"/>
        <color theme="3"/>
        <rFont val="Trebuchet MS"/>
        <family val="2"/>
        <scheme val="minor"/>
      </rPr>
      <t>Yellow</t>
    </r>
  </si>
  <si>
    <r>
      <t xml:space="preserve">Result: </t>
    </r>
    <r>
      <rPr>
        <b/>
        <sz val="14"/>
        <color theme="3"/>
        <rFont val="Trebuchet MS"/>
        <family val="2"/>
        <scheme val="minor"/>
      </rPr>
      <t>Blue,Green,Yellow</t>
    </r>
  </si>
  <si>
    <r>
      <t xml:space="preserve"> Result: </t>
    </r>
    <r>
      <rPr>
        <b/>
        <sz val="14"/>
        <color theme="3"/>
        <rFont val="Trebuchet MS"/>
        <family val="2"/>
        <scheme val="minor"/>
      </rPr>
      <t>gmail.com</t>
    </r>
  </si>
  <si>
    <r>
      <t xml:space="preserve">Result: </t>
    </r>
    <r>
      <rPr>
        <b/>
        <sz val="14"/>
        <color theme="3"/>
        <rFont val="Trebuchet MS"/>
        <family val="2"/>
        <scheme val="minor"/>
      </rPr>
      <t>Panbude</t>
    </r>
  </si>
  <si>
    <t>Syntax</t>
  </si>
  <si>
    <t xml:space="preserve"> TEXTAFTER Function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</si>
</sst>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32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b/>
      <sz val="24"/>
      <color theme="3"/>
      <name val="Trebuchet MS"/>
      <family val="2"/>
      <scheme val="minor"/>
    </font>
    <font>
      <sz val="14"/>
      <color theme="3"/>
      <name val="Trebuchet MS"/>
      <family val="2"/>
      <scheme val="minor"/>
    </font>
    <font>
      <b/>
      <sz val="13.5"/>
      <color theme="3"/>
      <name val="Trebuchet MS"/>
      <family val="2"/>
      <scheme val="minor"/>
    </font>
    <font>
      <b/>
      <sz val="14"/>
      <color theme="3"/>
      <name val="Trebuchet MS"/>
      <family val="2"/>
      <scheme val="minor"/>
    </font>
    <font>
      <sz val="10"/>
      <color theme="3"/>
      <name val="Arial Unicode MS"/>
    </font>
    <font>
      <b/>
      <sz val="12"/>
      <color theme="3"/>
      <name val="Trebuchet MS"/>
      <family val="2"/>
      <scheme val="minor"/>
    </font>
    <font>
      <i/>
      <sz val="14"/>
      <color theme="3"/>
      <name val="Trebuchet M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61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18" fillId="0" borderId="42" xfId="0" applyFont="1" applyBorder="1"/>
    <xf numFmtId="0" fontId="18" fillId="0" borderId="38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8" fillId="0" borderId="0" xfId="0" applyFont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[Ms_excel_formulas_and_functions_basic_to_advanced_.xlsx]Sheet23!PivotTable23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795692</xdr:colOff>
      <xdr:row>0</xdr:row>
      <xdr:rowOff>0</xdr:rowOff>
    </xdr:from>
    <xdr:ext cx="8605138" cy="91547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1595792" y="0"/>
          <a:ext cx="8614667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Raj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Singh Emp. 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9525</xdr:rowOff>
    </xdr:from>
    <xdr:to>
      <xdr:col>1</xdr:col>
      <xdr:colOff>19050</xdr:colOff>
      <xdr:row>4</xdr:row>
      <xdr:rowOff>9525</xdr:rowOff>
    </xdr:to>
    <xdr:pic>
      <xdr:nvPicPr>
        <xdr:cNvPr id="79926" name="Graphic 9" descr="Circles with arrows with solid fill">
          <a:extLst>
            <a:ext uri="{FF2B5EF4-FFF2-40B4-BE49-F238E27FC236}">
              <a16:creationId xmlns:a16="http://schemas.microsoft.com/office/drawing/2014/main" id="{8FF46AC0-6B58-A41C-7504-C06CAC382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9620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449B-AA5B-4DE8-B5A1-2FDCDAE95D40}">
  <dimension ref="A1:C76"/>
  <sheetViews>
    <sheetView topLeftCell="B62" zoomScale="115" zoomScaleNormal="115" workbookViewId="0">
      <selection activeCell="D9" sqref="D9"/>
    </sheetView>
  </sheetViews>
  <sheetFormatPr defaultColWidth="8.83203125" defaultRowHeight="18"/>
  <cols>
    <col min="1" max="1" width="6" customWidth="1"/>
    <col min="2" max="2" width="39.33203125" bestFit="1" customWidth="1"/>
    <col min="3" max="3" width="11.1640625" bestFit="1" customWidth="1"/>
    <col min="4" max="4" width="8.83203125" customWidth="1"/>
    <col min="5" max="5" width="9.08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</row>
    <row r="7" spans="1:3" ht="23.7" customHeight="1">
      <c r="A7">
        <v>6</v>
      </c>
      <c r="B7" t="s">
        <v>12</v>
      </c>
    </row>
    <row r="8" spans="1:3">
      <c r="A8">
        <v>7</v>
      </c>
      <c r="B8" t="s">
        <v>13</v>
      </c>
    </row>
    <row r="9" spans="1:3">
      <c r="A9">
        <v>8</v>
      </c>
      <c r="B9" t="s">
        <v>14</v>
      </c>
    </row>
    <row r="10" spans="1:3">
      <c r="A10">
        <v>9</v>
      </c>
      <c r="B10" t="s">
        <v>15</v>
      </c>
    </row>
    <row r="11" spans="1:3">
      <c r="A11">
        <v>10</v>
      </c>
      <c r="B11" t="s">
        <v>16</v>
      </c>
    </row>
    <row r="12" spans="1:3">
      <c r="A12">
        <v>11</v>
      </c>
      <c r="B12" t="s">
        <v>17</v>
      </c>
    </row>
    <row r="13" spans="1:3">
      <c r="A13">
        <v>12</v>
      </c>
      <c r="B13" t="s">
        <v>18</v>
      </c>
    </row>
    <row r="14" spans="1:3">
      <c r="A14">
        <v>13</v>
      </c>
      <c r="B14" t="s">
        <v>19</v>
      </c>
    </row>
    <row r="15" spans="1:3">
      <c r="A15">
        <v>14</v>
      </c>
      <c r="B15" t="s">
        <v>20</v>
      </c>
    </row>
    <row r="16" spans="1:3">
      <c r="A16">
        <v>15</v>
      </c>
      <c r="B16" t="s">
        <v>21</v>
      </c>
    </row>
    <row r="17" spans="1:2">
      <c r="A17">
        <v>16</v>
      </c>
      <c r="B17" t="s">
        <v>22</v>
      </c>
    </row>
    <row r="18" spans="1:2">
      <c r="A18">
        <v>17</v>
      </c>
      <c r="B18" t="s">
        <v>23</v>
      </c>
    </row>
    <row r="19" spans="1:2">
      <c r="A19">
        <v>18</v>
      </c>
      <c r="B19" t="s">
        <v>24</v>
      </c>
    </row>
    <row r="20" spans="1:2">
      <c r="A20">
        <v>19</v>
      </c>
      <c r="B20" t="s">
        <v>25</v>
      </c>
    </row>
    <row r="21" spans="1:2">
      <c r="A21">
        <v>20</v>
      </c>
      <c r="B21" t="s">
        <v>26</v>
      </c>
    </row>
    <row r="22" spans="1:2">
      <c r="A22">
        <v>21</v>
      </c>
      <c r="B22" t="s">
        <v>27</v>
      </c>
    </row>
    <row r="23" spans="1:2">
      <c r="A23">
        <v>22</v>
      </c>
      <c r="B23" t="s">
        <v>28</v>
      </c>
    </row>
    <row r="24" spans="1:2">
      <c r="A24">
        <v>23</v>
      </c>
      <c r="B24" t="s">
        <v>29</v>
      </c>
    </row>
    <row r="25" spans="1:2">
      <c r="A25">
        <v>24</v>
      </c>
      <c r="B25" t="s">
        <v>30</v>
      </c>
    </row>
    <row r="26" spans="1:2">
      <c r="A26">
        <v>25</v>
      </c>
      <c r="B26" t="s">
        <v>31</v>
      </c>
    </row>
    <row r="27" spans="1:2">
      <c r="A27">
        <v>26</v>
      </c>
      <c r="B27" t="s">
        <v>32</v>
      </c>
    </row>
    <row r="28" spans="1:2">
      <c r="A28">
        <v>27</v>
      </c>
      <c r="B28" t="s">
        <v>33</v>
      </c>
    </row>
    <row r="29" spans="1:2">
      <c r="A29">
        <v>28</v>
      </c>
      <c r="B29" t="s">
        <v>34</v>
      </c>
    </row>
    <row r="30" spans="1:2">
      <c r="A30">
        <v>29</v>
      </c>
      <c r="B30" t="s">
        <v>35</v>
      </c>
    </row>
    <row r="31" spans="1:2">
      <c r="A31">
        <v>30</v>
      </c>
      <c r="B31" t="s">
        <v>36</v>
      </c>
    </row>
    <row r="32" spans="1:2">
      <c r="A32">
        <v>31</v>
      </c>
      <c r="B32" t="s">
        <v>37</v>
      </c>
    </row>
    <row r="33" spans="1:2">
      <c r="A33">
        <v>32</v>
      </c>
      <c r="B33" t="s">
        <v>38</v>
      </c>
    </row>
    <row r="34" spans="1:2">
      <c r="A34">
        <v>33</v>
      </c>
      <c r="B34" t="s">
        <v>39</v>
      </c>
    </row>
    <row r="35" spans="1:2">
      <c r="A35">
        <v>34</v>
      </c>
      <c r="B35" t="s">
        <v>40</v>
      </c>
    </row>
    <row r="36" spans="1:2">
      <c r="A36">
        <v>35</v>
      </c>
      <c r="B36" t="s">
        <v>41</v>
      </c>
    </row>
    <row r="37" spans="1:2">
      <c r="A37">
        <v>36</v>
      </c>
      <c r="B37" t="s">
        <v>42</v>
      </c>
    </row>
    <row r="38" spans="1:2">
      <c r="A38">
        <v>37</v>
      </c>
      <c r="B38" t="s">
        <v>43</v>
      </c>
    </row>
    <row r="39" spans="1:2">
      <c r="A39">
        <v>38</v>
      </c>
      <c r="B39" t="s">
        <v>44</v>
      </c>
    </row>
    <row r="40" spans="1:2">
      <c r="A40">
        <v>39</v>
      </c>
      <c r="B40" t="s">
        <v>45</v>
      </c>
    </row>
    <row r="41" spans="1:2">
      <c r="A41">
        <v>40</v>
      </c>
      <c r="B41" t="s">
        <v>46</v>
      </c>
    </row>
    <row r="42" spans="1:2">
      <c r="A42">
        <v>41</v>
      </c>
      <c r="B42" t="s">
        <v>47</v>
      </c>
    </row>
    <row r="43" spans="1:2">
      <c r="A43">
        <v>42</v>
      </c>
      <c r="B43" t="s">
        <v>48</v>
      </c>
    </row>
    <row r="44" spans="1:2">
      <c r="A44">
        <v>43</v>
      </c>
      <c r="B44" t="s">
        <v>49</v>
      </c>
    </row>
    <row r="45" spans="1:2">
      <c r="A45">
        <v>44</v>
      </c>
      <c r="B45" t="s">
        <v>50</v>
      </c>
    </row>
    <row r="46" spans="1:2">
      <c r="A46">
        <v>45</v>
      </c>
      <c r="B46" t="s">
        <v>51</v>
      </c>
    </row>
    <row r="47" spans="1:2">
      <c r="A47">
        <v>46</v>
      </c>
      <c r="B47" t="s">
        <v>52</v>
      </c>
    </row>
    <row r="48" spans="1:2">
      <c r="A48">
        <v>47</v>
      </c>
      <c r="B48" t="s">
        <v>53</v>
      </c>
    </row>
    <row r="49" spans="1:2">
      <c r="A49">
        <v>48</v>
      </c>
      <c r="B49" t="s">
        <v>54</v>
      </c>
    </row>
    <row r="50" spans="1:2">
      <c r="A50">
        <v>49</v>
      </c>
      <c r="B50" t="s">
        <v>55</v>
      </c>
    </row>
    <row r="51" spans="1:2">
      <c r="A51">
        <v>50</v>
      </c>
      <c r="B51" t="s">
        <v>56</v>
      </c>
    </row>
    <row r="52" spans="1:2">
      <c r="A52">
        <v>51</v>
      </c>
      <c r="B52" t="s">
        <v>57</v>
      </c>
    </row>
    <row r="53" spans="1:2">
      <c r="A53">
        <v>52</v>
      </c>
      <c r="B53" t="s">
        <v>58</v>
      </c>
    </row>
    <row r="54" spans="1:2">
      <c r="A54">
        <v>53</v>
      </c>
      <c r="B54" t="s">
        <v>59</v>
      </c>
    </row>
    <row r="55" spans="1:2">
      <c r="A55">
        <v>54</v>
      </c>
      <c r="B55" t="s">
        <v>60</v>
      </c>
    </row>
    <row r="56" spans="1:2">
      <c r="A56">
        <v>55</v>
      </c>
      <c r="B56" t="s">
        <v>61</v>
      </c>
    </row>
    <row r="57" spans="1:2">
      <c r="A57">
        <v>56</v>
      </c>
      <c r="B57" t="s">
        <v>62</v>
      </c>
    </row>
    <row r="58" spans="1:2">
      <c r="A58">
        <v>57</v>
      </c>
      <c r="B58" t="s">
        <v>63</v>
      </c>
    </row>
    <row r="59" spans="1:2">
      <c r="A59">
        <v>58</v>
      </c>
      <c r="B59" t="s">
        <v>64</v>
      </c>
    </row>
    <row r="60" spans="1:2">
      <c r="A60">
        <v>59</v>
      </c>
      <c r="B60" t="s">
        <v>65</v>
      </c>
    </row>
    <row r="61" spans="1:2">
      <c r="A61">
        <v>60</v>
      </c>
      <c r="B61" t="s">
        <v>66</v>
      </c>
    </row>
    <row r="62" spans="1:2">
      <c r="A62">
        <v>61</v>
      </c>
      <c r="B62" t="s">
        <v>67</v>
      </c>
    </row>
    <row r="63" spans="1:2">
      <c r="A63">
        <v>62</v>
      </c>
      <c r="B63" t="s">
        <v>68</v>
      </c>
    </row>
    <row r="64" spans="1:2">
      <c r="A64">
        <v>63</v>
      </c>
      <c r="B64" t="s">
        <v>69</v>
      </c>
    </row>
    <row r="65" spans="1:2">
      <c r="A65">
        <v>64</v>
      </c>
      <c r="B65" t="s">
        <v>70</v>
      </c>
    </row>
    <row r="66" spans="1:2">
      <c r="A66">
        <v>65</v>
      </c>
      <c r="B66" t="s">
        <v>71</v>
      </c>
    </row>
    <row r="67" spans="1:2">
      <c r="A67">
        <v>66</v>
      </c>
      <c r="B67" t="s">
        <v>72</v>
      </c>
    </row>
    <row r="68" spans="1:2">
      <c r="A68">
        <v>67</v>
      </c>
      <c r="B68" t="s">
        <v>73</v>
      </c>
    </row>
    <row r="69" spans="1:2">
      <c r="A69">
        <v>68</v>
      </c>
      <c r="B69" t="s">
        <v>74</v>
      </c>
    </row>
    <row r="70" spans="1:2">
      <c r="A70">
        <v>69</v>
      </c>
      <c r="B70" t="s">
        <v>75</v>
      </c>
    </row>
    <row r="71" spans="1:2">
      <c r="A71">
        <v>70</v>
      </c>
      <c r="B71" t="s">
        <v>76</v>
      </c>
    </row>
    <row r="72" spans="1:2">
      <c r="A72">
        <v>71</v>
      </c>
      <c r="B72" t="s">
        <v>77</v>
      </c>
    </row>
    <row r="73" spans="1:2">
      <c r="A73">
        <v>72</v>
      </c>
      <c r="B73" t="s">
        <v>78</v>
      </c>
    </row>
    <row r="74" spans="1:2">
      <c r="A74">
        <v>73</v>
      </c>
      <c r="B74" t="s">
        <v>79</v>
      </c>
    </row>
    <row r="75" spans="1:2">
      <c r="A75">
        <v>74</v>
      </c>
      <c r="B75" t="s">
        <v>80</v>
      </c>
    </row>
    <row r="76" spans="1:2">
      <c r="A76">
        <v>75</v>
      </c>
      <c r="B76" t="s">
        <v>81</v>
      </c>
    </row>
  </sheetData>
  <sheetProtection selectLockedCells="1"/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>
      <c r="A1" s="36">
        <v>1</v>
      </c>
      <c r="B1" s="1" t="s">
        <v>82</v>
      </c>
    </row>
    <row r="2" spans="1:13">
      <c r="A2" s="37" t="s">
        <v>2</v>
      </c>
    </row>
    <row r="3" spans="1:1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/>
    </row>
    <row r="5" spans="1:1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/>
    </row>
    <row r="6" spans="1:1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/>
    </row>
    <row r="7" spans="1:1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/>
    </row>
    <row r="8" spans="1:1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/>
    </row>
    <row r="9" spans="1:1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/>
    </row>
    <row r="10" spans="1:1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/>
    </row>
    <row r="11" spans="1:1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131"/>
    </row>
    <row r="12" spans="1:13">
      <c r="B12" s="130" t="s">
        <v>95</v>
      </c>
      <c r="C12" s="38"/>
      <c r="D12" s="54"/>
      <c r="E12" s="54"/>
      <c r="F12" s="54"/>
      <c r="G12" s="39"/>
    </row>
    <row r="16" spans="1:13">
      <c r="B16" s="3" t="s">
        <v>83</v>
      </c>
      <c r="C16" s="3" t="s">
        <v>84</v>
      </c>
      <c r="D16" s="3" t="s">
        <v>96</v>
      </c>
    </row>
    <row r="17" spans="2:4">
      <c r="B17" s="4" t="s">
        <v>97</v>
      </c>
      <c r="C17" s="4" t="s">
        <v>90</v>
      </c>
      <c r="D17" s="4">
        <v>12000</v>
      </c>
    </row>
    <row r="18" spans="2:4">
      <c r="B18" s="4" t="s">
        <v>97</v>
      </c>
      <c r="C18" s="4" t="s">
        <v>92</v>
      </c>
      <c r="D18" s="4">
        <v>34000</v>
      </c>
    </row>
    <row r="19" spans="2:4">
      <c r="B19" s="4" t="s">
        <v>97</v>
      </c>
      <c r="C19" s="4" t="s">
        <v>90</v>
      </c>
      <c r="D19" s="4">
        <v>76000</v>
      </c>
    </row>
    <row r="20" spans="2:4" ht="18.600000000000001" thickBot="1">
      <c r="B20" s="7" t="s">
        <v>98</v>
      </c>
      <c r="C20" s="6"/>
      <c r="D20" s="7">
        <f>SUM(D17:D19)</f>
        <v>122000</v>
      </c>
    </row>
    <row r="21" spans="2:4">
      <c r="B21" s="5" t="s">
        <v>99</v>
      </c>
      <c r="C21" s="5" t="s">
        <v>92</v>
      </c>
      <c r="D21" s="5">
        <v>45000</v>
      </c>
    </row>
    <row r="22" spans="2:4">
      <c r="B22" s="4" t="s">
        <v>99</v>
      </c>
      <c r="C22" s="4" t="s">
        <v>94</v>
      </c>
      <c r="D22" s="4">
        <v>44000</v>
      </c>
    </row>
    <row r="23" spans="2:4">
      <c r="B23" s="4" t="s">
        <v>99</v>
      </c>
      <c r="C23" s="4" t="s">
        <v>90</v>
      </c>
      <c r="D23" s="4">
        <v>2500</v>
      </c>
    </row>
    <row r="24" spans="2:4" ht="18.600000000000001" thickBot="1">
      <c r="B24" s="7" t="s">
        <v>98</v>
      </c>
      <c r="C24" s="6"/>
      <c r="D24" s="7">
        <f>SUM(D21:D23)</f>
        <v>91500</v>
      </c>
    </row>
    <row r="25" spans="2:4">
      <c r="B25" s="5" t="s">
        <v>100</v>
      </c>
      <c r="C25" s="5" t="s">
        <v>92</v>
      </c>
      <c r="D25" s="5">
        <v>6500</v>
      </c>
    </row>
    <row r="26" spans="2:4">
      <c r="B26" s="4" t="s">
        <v>100</v>
      </c>
      <c r="C26" s="4" t="s">
        <v>92</v>
      </c>
      <c r="D26" s="4">
        <v>6501</v>
      </c>
    </row>
    <row r="27" spans="2:4" ht="18.600000000000001" thickBot="1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2" activePane="bottomLeft" state="frozen"/>
      <selection pane="bottomLeft" activeCell="B6" sqref="B6"/>
    </sheetView>
  </sheetViews>
  <sheetFormatPr defaultRowHeight="18"/>
  <cols>
    <col min="2" max="2" width="24.5" customWidth="1"/>
    <col min="6" max="6" width="14" customWidth="1"/>
  </cols>
  <sheetData>
    <row r="1" spans="1:9" s="2" customFormat="1" ht="32.700000000000003" customHeight="1" thickBot="1">
      <c r="A1" s="36">
        <v>2</v>
      </c>
      <c r="B1" s="140" t="s">
        <v>101</v>
      </c>
      <c r="C1" s="140"/>
      <c r="D1" s="140"/>
      <c r="E1" s="140"/>
      <c r="F1" s="140"/>
      <c r="G1" s="140"/>
      <c r="H1" s="140"/>
    </row>
    <row r="2" spans="1:9">
      <c r="A2" s="37" t="s">
        <v>2</v>
      </c>
    </row>
    <row r="3" spans="1:9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>
      <c r="B15" t="s">
        <v>105</v>
      </c>
    </row>
    <row r="16" spans="1:9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>
      <c r="B17" s="4" t="s">
        <v>97</v>
      </c>
      <c r="C17" s="4" t="s">
        <v>90</v>
      </c>
      <c r="D17" s="4">
        <v>34000</v>
      </c>
      <c r="F17" s="4"/>
      <c r="G17" s="4">
        <f>SUMIF(B17:B26,F17,D17:D26)</f>
        <v>0</v>
      </c>
    </row>
    <row r="18" spans="2:7">
      <c r="B18" s="4" t="s">
        <v>106</v>
      </c>
      <c r="C18" s="4" t="s">
        <v>92</v>
      </c>
      <c r="D18" s="4">
        <v>5000</v>
      </c>
    </row>
    <row r="19" spans="2:7">
      <c r="B19" s="4" t="s">
        <v>107</v>
      </c>
      <c r="C19" s="4" t="s">
        <v>94</v>
      </c>
      <c r="D19" s="4">
        <v>76000</v>
      </c>
    </row>
    <row r="20" spans="2:7">
      <c r="B20" s="4" t="s">
        <v>108</v>
      </c>
      <c r="C20" s="4" t="s">
        <v>90</v>
      </c>
      <c r="D20" s="4">
        <v>45000</v>
      </c>
    </row>
    <row r="21" spans="2:7">
      <c r="B21" s="4" t="s">
        <v>109</v>
      </c>
      <c r="C21" s="4" t="s">
        <v>92</v>
      </c>
      <c r="D21" s="4">
        <v>8700</v>
      </c>
    </row>
    <row r="22" spans="2:7">
      <c r="B22" s="4" t="s">
        <v>110</v>
      </c>
      <c r="C22" s="4" t="s">
        <v>94</v>
      </c>
      <c r="D22" s="4">
        <v>5600</v>
      </c>
    </row>
    <row r="23" spans="2:7">
      <c r="B23" s="4" t="s">
        <v>108</v>
      </c>
      <c r="C23" s="4" t="s">
        <v>90</v>
      </c>
      <c r="D23" s="4">
        <v>45000</v>
      </c>
    </row>
    <row r="24" spans="2:7">
      <c r="B24" s="4" t="s">
        <v>99</v>
      </c>
      <c r="C24" s="4" t="s">
        <v>92</v>
      </c>
      <c r="D24" s="4">
        <v>5600</v>
      </c>
    </row>
    <row r="25" spans="2:7">
      <c r="B25" s="4" t="s">
        <v>111</v>
      </c>
      <c r="C25" s="4" t="s">
        <v>94</v>
      </c>
      <c r="D25" s="4">
        <v>5600</v>
      </c>
    </row>
    <row r="26" spans="2:7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6" max="6" width="14" customWidth="1"/>
  </cols>
  <sheetData>
    <row r="1" spans="1:11" s="2" customFormat="1" ht="32.700000000000003" customHeight="1" thickBot="1">
      <c r="A1" s="36">
        <v>3</v>
      </c>
      <c r="B1" s="1" t="s">
        <v>112</v>
      </c>
    </row>
    <row r="2" spans="1:11">
      <c r="A2" s="37" t="s">
        <v>2</v>
      </c>
    </row>
    <row r="3" spans="1:11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>
      <c r="B5" s="39" t="s">
        <v>91</v>
      </c>
      <c r="C5" s="39" t="s">
        <v>92</v>
      </c>
      <c r="D5" s="39">
        <v>6400</v>
      </c>
      <c r="I5" t="str">
        <v>Speaker</v>
      </c>
    </row>
    <row r="6" spans="1:11">
      <c r="B6" s="39" t="s">
        <v>93</v>
      </c>
      <c r="C6" s="39" t="s">
        <v>94</v>
      </c>
      <c r="D6" s="39">
        <v>28500</v>
      </c>
      <c r="I6" t="str">
        <v>Webcam</v>
      </c>
    </row>
    <row r="7" spans="1:11">
      <c r="B7" s="39" t="s">
        <v>89</v>
      </c>
      <c r="C7" s="39" t="s">
        <v>90</v>
      </c>
      <c r="D7" s="39">
        <v>31000</v>
      </c>
      <c r="I7" t="str">
        <v>Router</v>
      </c>
    </row>
    <row r="8" spans="1:11">
      <c r="B8" s="39" t="s">
        <v>91</v>
      </c>
      <c r="C8" s="39" t="s">
        <v>92</v>
      </c>
      <c r="D8" s="39">
        <v>7900</v>
      </c>
    </row>
    <row r="9" spans="1:11">
      <c r="B9" s="39" t="s">
        <v>93</v>
      </c>
      <c r="C9" s="39" t="s">
        <v>94</v>
      </c>
      <c r="D9" s="39">
        <v>7200</v>
      </c>
    </row>
    <row r="10" spans="1:11">
      <c r="B10" s="39" t="s">
        <v>89</v>
      </c>
      <c r="C10" s="39" t="s">
        <v>90</v>
      </c>
      <c r="D10" s="39">
        <v>27000</v>
      </c>
    </row>
    <row r="11" spans="1:11">
      <c r="B11" s="39" t="s">
        <v>91</v>
      </c>
      <c r="C11" s="39" t="s">
        <v>92</v>
      </c>
      <c r="D11" s="39">
        <v>6100</v>
      </c>
    </row>
    <row r="12" spans="1:11">
      <c r="B12" s="39" t="s">
        <v>113</v>
      </c>
      <c r="C12" s="39" t="s">
        <v>94</v>
      </c>
      <c r="D12" s="39">
        <v>6000</v>
      </c>
    </row>
    <row r="13" spans="1:11">
      <c r="B13" s="39" t="s">
        <v>89</v>
      </c>
      <c r="C13" s="39" t="s">
        <v>90</v>
      </c>
      <c r="D13" s="39">
        <v>25000</v>
      </c>
    </row>
    <row r="17" spans="2:7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>
      <c r="B18" s="4" t="s">
        <v>97</v>
      </c>
      <c r="C18" s="4" t="s">
        <v>90</v>
      </c>
      <c r="D18" s="4">
        <v>34000</v>
      </c>
      <c r="F18" s="4"/>
      <c r="G18" s="4"/>
    </row>
    <row r="19" spans="2:7">
      <c r="B19" s="4" t="s">
        <v>106</v>
      </c>
      <c r="C19" s="4" t="s">
        <v>92</v>
      </c>
      <c r="D19" s="4">
        <v>5000</v>
      </c>
    </row>
    <row r="20" spans="2:7">
      <c r="B20" s="4" t="s">
        <v>114</v>
      </c>
      <c r="C20" s="4" t="s">
        <v>94</v>
      </c>
      <c r="D20" s="4">
        <v>76000</v>
      </c>
    </row>
    <row r="21" spans="2:7">
      <c r="B21" s="4" t="s">
        <v>108</v>
      </c>
      <c r="C21" s="4" t="s">
        <v>90</v>
      </c>
      <c r="D21" s="4">
        <v>45000</v>
      </c>
    </row>
    <row r="22" spans="2:7">
      <c r="B22" s="4" t="s">
        <v>109</v>
      </c>
      <c r="C22" s="4" t="s">
        <v>92</v>
      </c>
      <c r="D22" s="4">
        <v>8700</v>
      </c>
    </row>
    <row r="23" spans="2:7">
      <c r="B23" s="4" t="s">
        <v>114</v>
      </c>
      <c r="C23" s="4" t="s">
        <v>94</v>
      </c>
      <c r="D23" s="4">
        <v>5600</v>
      </c>
    </row>
    <row r="24" spans="2:7">
      <c r="B24" s="4" t="s">
        <v>108</v>
      </c>
      <c r="C24" s="4" t="s">
        <v>90</v>
      </c>
      <c r="D24" s="4">
        <v>45000</v>
      </c>
    </row>
    <row r="25" spans="2:7">
      <c r="B25" s="4" t="s">
        <v>99</v>
      </c>
      <c r="C25" s="4" t="s">
        <v>92</v>
      </c>
      <c r="D25" s="4">
        <v>5600</v>
      </c>
    </row>
    <row r="26" spans="2:7">
      <c r="B26" s="4" t="s">
        <v>111</v>
      </c>
      <c r="C26" s="4" t="s">
        <v>94</v>
      </c>
      <c r="D26" s="4">
        <v>5600</v>
      </c>
    </row>
    <row r="27" spans="2:7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24.58203125" bestFit="1" customWidth="1"/>
    <col min="6" max="6" width="14" customWidth="1"/>
  </cols>
  <sheetData>
    <row r="1" spans="1:12" s="2" customFormat="1" ht="32.700000000000003" customHeight="1" thickBot="1">
      <c r="A1" s="36">
        <v>4</v>
      </c>
      <c r="B1" s="1" t="s">
        <v>115</v>
      </c>
    </row>
    <row r="2" spans="1:12">
      <c r="A2" s="37" t="s">
        <v>2</v>
      </c>
    </row>
    <row r="3" spans="1:12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>
      <c r="B7" s="39" t="s">
        <v>116</v>
      </c>
      <c r="C7" s="60" t="s">
        <v>90</v>
      </c>
      <c r="D7" s="39">
        <v>26000</v>
      </c>
    </row>
    <row r="8" spans="1:12">
      <c r="B8" s="39" t="s">
        <v>118</v>
      </c>
      <c r="C8" s="60" t="s">
        <v>92</v>
      </c>
      <c r="D8" s="39">
        <v>8900</v>
      </c>
    </row>
    <row r="9" spans="1:12">
      <c r="B9" s="39" t="s">
        <v>119</v>
      </c>
      <c r="C9" s="60" t="s">
        <v>94</v>
      </c>
      <c r="D9" s="39">
        <v>6800</v>
      </c>
    </row>
    <row r="10" spans="1:12">
      <c r="B10" s="39" t="s">
        <v>116</v>
      </c>
      <c r="C10" s="60" t="s">
        <v>117</v>
      </c>
      <c r="D10" s="39">
        <v>24500</v>
      </c>
    </row>
    <row r="11" spans="1:12">
      <c r="B11" s="39" t="s">
        <v>118</v>
      </c>
      <c r="C11" s="60" t="s">
        <v>94</v>
      </c>
      <c r="D11" s="39">
        <v>6400</v>
      </c>
    </row>
    <row r="12" spans="1:12">
      <c r="B12" s="39" t="s">
        <v>120</v>
      </c>
      <c r="C12" s="60" t="s">
        <v>94</v>
      </c>
      <c r="D12" s="39">
        <v>6000</v>
      </c>
    </row>
    <row r="13" spans="1:12">
      <c r="B13" s="39" t="s">
        <v>116</v>
      </c>
      <c r="C13" s="60" t="s">
        <v>117</v>
      </c>
      <c r="D13" s="39">
        <v>27500</v>
      </c>
    </row>
    <row r="17" spans="2:12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/>
    </row>
    <row r="19" spans="2:12">
      <c r="B19" s="39" t="s">
        <v>123</v>
      </c>
      <c r="C19" s="39" t="s">
        <v>92</v>
      </c>
      <c r="D19" s="39">
        <v>6200</v>
      </c>
    </row>
    <row r="20" spans="2:12">
      <c r="B20" s="39" t="s">
        <v>124</v>
      </c>
      <c r="C20" s="39" t="s">
        <v>94</v>
      </c>
      <c r="D20" s="39">
        <v>31500</v>
      </c>
    </row>
    <row r="21" spans="2:12">
      <c r="B21" s="39" t="s">
        <v>121</v>
      </c>
      <c r="C21" s="39" t="s">
        <v>90</v>
      </c>
      <c r="D21" s="39">
        <v>29000</v>
      </c>
    </row>
    <row r="22" spans="2:12">
      <c r="B22" s="39" t="s">
        <v>122</v>
      </c>
      <c r="C22" s="39" t="s">
        <v>92</v>
      </c>
      <c r="D22" s="39">
        <v>9400</v>
      </c>
    </row>
    <row r="23" spans="2:12">
      <c r="B23" s="39" t="s">
        <v>124</v>
      </c>
      <c r="C23" s="39" t="s">
        <v>94</v>
      </c>
      <c r="D23" s="39">
        <v>7200</v>
      </c>
    </row>
    <row r="24" spans="2:12">
      <c r="B24" s="39" t="s">
        <v>121</v>
      </c>
      <c r="C24" s="39" t="s">
        <v>90</v>
      </c>
      <c r="D24" s="39">
        <v>27500</v>
      </c>
    </row>
    <row r="25" spans="2:12">
      <c r="B25" s="39" t="s">
        <v>122</v>
      </c>
      <c r="C25" s="39" t="s">
        <v>92</v>
      </c>
      <c r="D25" s="39">
        <v>6800</v>
      </c>
    </row>
    <row r="26" spans="2:12">
      <c r="B26" s="39" t="s">
        <v>125</v>
      </c>
      <c r="C26" s="39" t="s">
        <v>94</v>
      </c>
      <c r="D26" s="39">
        <v>6100</v>
      </c>
    </row>
    <row r="27" spans="2:12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"/>
  <cols>
    <col min="2" max="2" width="14" customWidth="1"/>
    <col min="4" max="6" width="9.5" customWidth="1"/>
  </cols>
  <sheetData>
    <row r="1" spans="1:11" s="2" customFormat="1" ht="32.700000000000003" customHeight="1" thickBot="1">
      <c r="A1" s="36">
        <v>5</v>
      </c>
      <c r="B1" s="1" t="s">
        <v>126</v>
      </c>
    </row>
    <row r="2" spans="1:11">
      <c r="A2" s="37" t="s">
        <v>2</v>
      </c>
    </row>
    <row r="3" spans="1:11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>
      <c r="B11" s="39" t="s">
        <v>130</v>
      </c>
      <c r="C11" s="61" t="s">
        <v>94</v>
      </c>
      <c r="D11" s="39">
        <v>60</v>
      </c>
      <c r="E11" s="45">
        <v>205</v>
      </c>
      <c r="F11" s="9"/>
    </row>
    <row r="12" spans="1:11">
      <c r="B12" s="39" t="s">
        <v>132</v>
      </c>
      <c r="C12" s="61" t="s">
        <v>94</v>
      </c>
      <c r="D12" s="39">
        <v>12</v>
      </c>
      <c r="E12" s="45">
        <v>3900</v>
      </c>
      <c r="F12" s="9"/>
    </row>
    <row r="13" spans="1:11">
      <c r="B13" s="39" t="s">
        <v>129</v>
      </c>
      <c r="C13" s="61" t="s">
        <v>117</v>
      </c>
      <c r="D13" s="39">
        <v>10</v>
      </c>
      <c r="E13" s="45">
        <v>280</v>
      </c>
      <c r="F13" s="9"/>
    </row>
    <row r="16" spans="1:11">
      <c r="B16" s="10" t="s">
        <v>133</v>
      </c>
    </row>
    <row r="17" spans="2:2">
      <c r="B17">
        <v>2</v>
      </c>
    </row>
    <row r="18" spans="2:2">
      <c r="B18">
        <v>4</v>
      </c>
    </row>
    <row r="19" spans="2:2">
      <c r="B19">
        <v>5</v>
      </c>
    </row>
    <row r="20" spans="2:2">
      <c r="B20">
        <v>7</v>
      </c>
    </row>
    <row r="21" spans="2:2">
      <c r="B21">
        <v>5</v>
      </c>
    </row>
    <row r="22" spans="2:2">
      <c r="B22">
        <v>4</v>
      </c>
    </row>
    <row r="23" spans="2:2">
      <c r="B23">
        <v>5</v>
      </c>
    </row>
    <row r="24" spans="2:2">
      <c r="B24">
        <v>7</v>
      </c>
    </row>
    <row r="25" spans="2:2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>
      <c r="A1" s="36">
        <v>6</v>
      </c>
      <c r="B1" s="1" t="s">
        <v>134</v>
      </c>
    </row>
    <row r="2" spans="1:11">
      <c r="A2" s="37" t="s">
        <v>2</v>
      </c>
    </row>
    <row r="3" spans="1:11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>
      <c r="D14" s="141" t="s">
        <v>139</v>
      </c>
      <c r="E14" s="142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>
      <c r="A1" s="36">
        <v>7</v>
      </c>
      <c r="B1" s="137" t="s">
        <v>140</v>
      </c>
    </row>
    <row r="2" spans="1:8">
      <c r="A2" s="37" t="s">
        <v>2</v>
      </c>
    </row>
    <row r="3" spans="1:8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G12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</cols>
  <sheetData>
    <row r="1" spans="1:7" s="2" customFormat="1" ht="32.700000000000003" customHeight="1" thickBot="1">
      <c r="A1" s="36">
        <v>8</v>
      </c>
      <c r="B1" s="137" t="s">
        <v>144</v>
      </c>
    </row>
    <row r="2" spans="1:7">
      <c r="A2" s="37" t="s">
        <v>2</v>
      </c>
    </row>
    <row r="3" spans="1:7">
      <c r="B3" s="12" t="s">
        <v>141</v>
      </c>
      <c r="C3" s="42" t="s">
        <v>145</v>
      </c>
      <c r="D3" s="3" t="s">
        <v>96</v>
      </c>
      <c r="E3" s="3" t="s">
        <v>13</v>
      </c>
    </row>
    <row r="4" spans="1:7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  <c r="G4" t="e" cm="1">
        <f t="array" aca="1" ref="G4" ca="1">formulattext(E4)</f>
        <v>#NAME?</v>
      </c>
    </row>
    <row r="5" spans="1:7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7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7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7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7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7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7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7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9" sqref="F9"/>
    </sheetView>
  </sheetViews>
  <sheetFormatPr defaultRowHeight="18"/>
  <cols>
    <col min="2" max="2" width="14" style="13" customWidth="1"/>
    <col min="3" max="3" width="14.4140625" customWidth="1"/>
  </cols>
  <sheetData>
    <row r="1" spans="1:6" s="2" customFormat="1" ht="32.700000000000003" customHeight="1" thickBot="1">
      <c r="A1" s="36">
        <v>9</v>
      </c>
      <c r="B1" s="137" t="s">
        <v>146</v>
      </c>
    </row>
    <row r="2" spans="1:6">
      <c r="A2" s="37" t="s">
        <v>2</v>
      </c>
    </row>
    <row r="3" spans="1:6">
      <c r="B3" s="16" t="s">
        <v>141</v>
      </c>
      <c r="C3" s="17" t="s">
        <v>83</v>
      </c>
      <c r="D3" s="18" t="s">
        <v>96</v>
      </c>
      <c r="F3" s="3" t="s">
        <v>96</v>
      </c>
    </row>
    <row r="4" spans="1:6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>
      <c r="B5" s="15">
        <v>45293</v>
      </c>
      <c r="C5" s="39" t="s">
        <v>147</v>
      </c>
      <c r="D5" s="39">
        <v>220</v>
      </c>
    </row>
    <row r="6" spans="1:6">
      <c r="B6" s="15">
        <v>45294</v>
      </c>
      <c r="C6" s="39" t="s">
        <v>148</v>
      </c>
      <c r="D6" s="39">
        <v>170</v>
      </c>
    </row>
    <row r="7" spans="1:6">
      <c r="B7" s="15">
        <v>45295</v>
      </c>
      <c r="C7" s="39" t="s">
        <v>149</v>
      </c>
      <c r="D7" s="39">
        <v>250</v>
      </c>
    </row>
    <row r="8" spans="1:6">
      <c r="B8" s="15">
        <v>45296</v>
      </c>
      <c r="C8" s="39" t="s">
        <v>147</v>
      </c>
      <c r="D8" s="39">
        <v>130</v>
      </c>
    </row>
    <row r="9" spans="1:6">
      <c r="B9" s="15">
        <v>45297</v>
      </c>
      <c r="C9" s="39" t="s">
        <v>148</v>
      </c>
      <c r="D9" s="39">
        <v>370</v>
      </c>
    </row>
    <row r="10" spans="1:6">
      <c r="B10" s="15">
        <v>45298</v>
      </c>
      <c r="C10" s="39" t="s">
        <v>149</v>
      </c>
      <c r="D10" s="39">
        <v>280</v>
      </c>
    </row>
    <row r="11" spans="1:6">
      <c r="B11" s="15">
        <v>45299</v>
      </c>
      <c r="C11" s="39" t="s">
        <v>147</v>
      </c>
      <c r="D11" s="39">
        <v>360</v>
      </c>
    </row>
    <row r="12" spans="1:6">
      <c r="B12" s="19">
        <v>45300</v>
      </c>
      <c r="C12" s="39" t="s">
        <v>148</v>
      </c>
      <c r="D12" s="39">
        <v>420</v>
      </c>
    </row>
    <row r="13" spans="1:6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>
      <c r="A1" s="36">
        <v>10</v>
      </c>
      <c r="B1" s="1" t="s">
        <v>150</v>
      </c>
    </row>
    <row r="2" spans="1:12">
      <c r="A2" s="37" t="s">
        <v>2</v>
      </c>
    </row>
    <row r="3" spans="1:12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>
      <c r="B18" s="39" t="s">
        <v>91</v>
      </c>
      <c r="C18" s="39" t="s">
        <v>92</v>
      </c>
      <c r="D18" s="39">
        <v>8900</v>
      </c>
    </row>
    <row r="19" spans="2:6">
      <c r="B19" s="39" t="s">
        <v>93</v>
      </c>
      <c r="C19" s="39" t="s">
        <v>94</v>
      </c>
      <c r="D19" s="39">
        <v>32500</v>
      </c>
    </row>
    <row r="20" spans="2:6">
      <c r="B20" s="39" t="s">
        <v>89</v>
      </c>
      <c r="C20" s="39" t="s">
        <v>90</v>
      </c>
      <c r="D20" s="39">
        <v>27500</v>
      </c>
    </row>
    <row r="21" spans="2:6">
      <c r="B21" s="39" t="s">
        <v>91</v>
      </c>
      <c r="C21" s="39" t="s">
        <v>92</v>
      </c>
      <c r="D21" s="39">
        <v>9200</v>
      </c>
    </row>
    <row r="22" spans="2:6">
      <c r="B22" s="39" t="s">
        <v>93</v>
      </c>
      <c r="C22" s="39" t="s">
        <v>94</v>
      </c>
      <c r="D22" s="39">
        <v>9100</v>
      </c>
    </row>
    <row r="23" spans="2:6">
      <c r="B23" s="39" t="s">
        <v>89</v>
      </c>
      <c r="C23" s="39" t="s">
        <v>90</v>
      </c>
      <c r="D23" s="39">
        <v>29000</v>
      </c>
    </row>
    <row r="24" spans="2:6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>
      <c r="A1" s="36">
        <v>11</v>
      </c>
      <c r="B1" s="1" t="s">
        <v>153</v>
      </c>
    </row>
    <row r="2" spans="1:11">
      <c r="A2" s="37" t="s">
        <v>2</v>
      </c>
    </row>
    <row r="3" spans="1:11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>
      <c r="B5" s="39" t="s">
        <v>156</v>
      </c>
      <c r="C5" s="39" t="s">
        <v>92</v>
      </c>
      <c r="D5" s="39">
        <v>6200</v>
      </c>
    </row>
    <row r="6" spans="1:11">
      <c r="B6" s="39" t="s">
        <v>157</v>
      </c>
      <c r="C6" s="39" t="s">
        <v>94</v>
      </c>
      <c r="D6" s="39">
        <v>31500</v>
      </c>
    </row>
    <row r="7" spans="1:11">
      <c r="B7" s="39" t="s">
        <v>155</v>
      </c>
      <c r="C7" s="39" t="s">
        <v>90</v>
      </c>
      <c r="D7" s="39">
        <v>28500</v>
      </c>
    </row>
    <row r="8" spans="1:11">
      <c r="B8" s="39" t="s">
        <v>156</v>
      </c>
      <c r="C8" s="39" t="s">
        <v>92</v>
      </c>
      <c r="D8" s="39">
        <v>9400</v>
      </c>
    </row>
    <row r="9" spans="1:11">
      <c r="B9" s="39" t="s">
        <v>157</v>
      </c>
      <c r="C9" s="39" t="s">
        <v>94</v>
      </c>
      <c r="D9" s="39">
        <v>7200</v>
      </c>
    </row>
    <row r="10" spans="1:11">
      <c r="B10" s="39" t="s">
        <v>155</v>
      </c>
      <c r="C10" s="39" t="s">
        <v>90</v>
      </c>
      <c r="D10" s="39">
        <v>27000</v>
      </c>
    </row>
    <row r="11" spans="1:11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>
      <c r="A1" s="36">
        <v>12</v>
      </c>
      <c r="B1" s="1" t="s">
        <v>158</v>
      </c>
    </row>
    <row r="2" spans="1:10">
      <c r="A2" s="37" t="s">
        <v>2</v>
      </c>
    </row>
    <row r="3" spans="1:10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>
      <c r="B7" s="39" t="s">
        <v>159</v>
      </c>
      <c r="C7" s="39" t="s">
        <v>90</v>
      </c>
      <c r="D7" s="61">
        <v>31000</v>
      </c>
    </row>
    <row r="8" spans="1:10">
      <c r="B8" s="39" t="s">
        <v>161</v>
      </c>
      <c r="C8" s="39" t="s">
        <v>92</v>
      </c>
      <c r="D8" s="61">
        <v>9100</v>
      </c>
      <c r="F8" t="e">
        <v>#N/A</v>
      </c>
    </row>
    <row r="9" spans="1:10">
      <c r="B9" s="39" t="s">
        <v>162</v>
      </c>
      <c r="C9" s="39" t="s">
        <v>94</v>
      </c>
      <c r="D9" s="61">
        <v>6900</v>
      </c>
      <c r="F9" t="e">
        <v>#VALUE!</v>
      </c>
    </row>
    <row r="10" spans="1:10">
      <c r="B10" s="39" t="s">
        <v>159</v>
      </c>
      <c r="C10" s="39" t="s">
        <v>90</v>
      </c>
      <c r="D10" s="61">
        <v>28000</v>
      </c>
      <c r="F10" t="e">
        <v>#DIV/0!</v>
      </c>
    </row>
    <row r="11" spans="1:10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>
      <c r="A1" s="36">
        <v>13</v>
      </c>
      <c r="B1" s="1" t="s">
        <v>163</v>
      </c>
    </row>
    <row r="2" spans="1:12">
      <c r="A2" s="37" t="s">
        <v>2</v>
      </c>
    </row>
    <row r="3" spans="1:12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>
      <c r="B5" s="39" t="s">
        <v>161</v>
      </c>
      <c r="C5" s="39" t="s">
        <v>94</v>
      </c>
      <c r="D5" s="39">
        <v>28500</v>
      </c>
    </row>
    <row r="6" spans="1:12">
      <c r="B6" s="39" t="s">
        <v>162</v>
      </c>
      <c r="C6" s="39" t="s">
        <v>94</v>
      </c>
      <c r="D6" s="39">
        <v>7200</v>
      </c>
    </row>
    <row r="7" spans="1:12">
      <c r="B7" s="39" t="s">
        <v>159</v>
      </c>
      <c r="C7" s="39" t="s">
        <v>90</v>
      </c>
      <c r="D7" s="39">
        <v>33000</v>
      </c>
    </row>
    <row r="8" spans="1:12">
      <c r="B8" s="39" t="s">
        <v>161</v>
      </c>
      <c r="C8" s="39" t="s">
        <v>94</v>
      </c>
      <c r="D8" s="39">
        <v>32000</v>
      </c>
    </row>
    <row r="9" spans="1:12">
      <c r="B9" s="39" t="s">
        <v>162</v>
      </c>
      <c r="C9" s="39" t="s">
        <v>94</v>
      </c>
      <c r="D9" s="39">
        <v>25000</v>
      </c>
    </row>
    <row r="10" spans="1:12">
      <c r="B10" s="39" t="s">
        <v>159</v>
      </c>
      <c r="C10" s="39" t="s">
        <v>117</v>
      </c>
      <c r="D10" s="39">
        <v>4600</v>
      </c>
    </row>
    <row r="11" spans="1:12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27.66406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>
      <c r="A1" s="36">
        <v>14</v>
      </c>
      <c r="B1" s="1" t="s">
        <v>20</v>
      </c>
      <c r="C1" s="1"/>
    </row>
    <row r="2" spans="1:7">
      <c r="A2" s="37" t="s">
        <v>2</v>
      </c>
    </row>
    <row r="3" spans="1:7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>
      <c r="B4" s="39" t="s">
        <v>89</v>
      </c>
      <c r="C4" s="39" t="s">
        <v>166</v>
      </c>
      <c r="D4" s="39"/>
    </row>
    <row r="5" spans="1:7">
      <c r="B5" s="39" t="s">
        <v>91</v>
      </c>
      <c r="C5" s="39"/>
      <c r="D5" s="39"/>
    </row>
    <row r="6" spans="1:7">
      <c r="B6" s="39" t="s">
        <v>93</v>
      </c>
      <c r="C6" s="39" t="s">
        <v>167</v>
      </c>
      <c r="D6" s="39"/>
    </row>
    <row r="7" spans="1:7">
      <c r="B7" s="39" t="s">
        <v>91</v>
      </c>
      <c r="C7" s="39"/>
      <c r="D7" s="39"/>
    </row>
    <row r="8" spans="1:7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>
      <c r="A1" s="36">
        <v>15</v>
      </c>
      <c r="B1" s="1" t="s">
        <v>168</v>
      </c>
    </row>
    <row r="2" spans="1:12">
      <c r="A2" s="37" t="s">
        <v>2</v>
      </c>
    </row>
    <row r="3" spans="1:12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>
      <c r="H12" s="50"/>
    </row>
    <row r="13" spans="1:12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topLeftCell="XER1" zoomScale="130" zoomScaleNormal="130" workbookViewId="0">
      <pane ySplit="1" topLeftCell="A2" activePane="bottomLeft" state="frozen"/>
      <selection pane="bottomLeft" activeCell="XEX10" sqref="XEX10"/>
    </sheetView>
  </sheetViews>
  <sheetFormatPr defaultRowHeight="18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>
      <c r="A1" s="36">
        <v>16</v>
      </c>
      <c r="B1" s="1" t="s">
        <v>173</v>
      </c>
    </row>
    <row r="2" spans="1:12">
      <c r="A2" s="37" t="s">
        <v>2</v>
      </c>
    </row>
    <row r="3" spans="1:12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/>
    </row>
    <row r="6" spans="1:12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>
      <c r="A1" s="36">
        <v>17</v>
      </c>
      <c r="B1" s="1" t="s">
        <v>180</v>
      </c>
    </row>
    <row r="2" spans="1:10">
      <c r="A2" s="37" t="s">
        <v>2</v>
      </c>
    </row>
    <row r="3" spans="1:10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" customWidth="1"/>
    <col min="3" max="3" width="10.4140625" customWidth="1"/>
    <col min="8" max="8" width="15.4140625" customWidth="1"/>
    <col min="11" max="11" width="13.33203125" bestFit="1" customWidth="1"/>
  </cols>
  <sheetData>
    <row r="1" spans="1:11" s="2" customFormat="1" ht="32.700000000000003" customHeight="1" thickBot="1">
      <c r="A1" s="36">
        <v>18</v>
      </c>
      <c r="B1" s="1" t="s">
        <v>184</v>
      </c>
    </row>
    <row r="2" spans="1:11">
      <c r="A2" s="37" t="s">
        <v>2</v>
      </c>
    </row>
    <row r="3" spans="1:11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/>
    </row>
    <row r="6" spans="1:11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>
      <c r="A1" s="36">
        <v>19</v>
      </c>
      <c r="B1" s="1" t="s">
        <v>191</v>
      </c>
    </row>
    <row r="2" spans="1:12">
      <c r="A2" s="37" t="s">
        <v>2</v>
      </c>
    </row>
    <row r="3" spans="1:12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11.58203125" customWidth="1"/>
  </cols>
  <sheetData>
    <row r="1" spans="1:5" s="2" customFormat="1" ht="32.700000000000003" customHeight="1" thickBot="1">
      <c r="A1" s="36">
        <v>20</v>
      </c>
      <c r="B1" s="1" t="s">
        <v>206</v>
      </c>
    </row>
    <row r="2" spans="1:5">
      <c r="A2" s="37" t="s">
        <v>2</v>
      </c>
    </row>
    <row r="3" spans="1:5">
      <c r="B3" s="3" t="s">
        <v>192</v>
      </c>
      <c r="C3" s="3" t="s">
        <v>196</v>
      </c>
    </row>
    <row r="4" spans="1:5">
      <c r="B4" s="52" t="s">
        <v>198</v>
      </c>
      <c r="C4" s="39">
        <v>154</v>
      </c>
      <c r="E4">
        <f>COUNT(C4:C11)</f>
        <v>6</v>
      </c>
    </row>
    <row r="5" spans="1:5">
      <c r="B5" s="52" t="s">
        <v>199</v>
      </c>
      <c r="C5" s="39">
        <v>174</v>
      </c>
    </row>
    <row r="6" spans="1:5">
      <c r="B6" s="52" t="s">
        <v>200</v>
      </c>
      <c r="C6" s="39" t="s">
        <v>207</v>
      </c>
    </row>
    <row r="7" spans="1:5">
      <c r="B7" s="52" t="s">
        <v>201</v>
      </c>
      <c r="C7" s="39">
        <v>177</v>
      </c>
    </row>
    <row r="8" spans="1:5">
      <c r="B8" s="52" t="s">
        <v>202</v>
      </c>
      <c r="C8" s="39" t="s">
        <v>207</v>
      </c>
    </row>
    <row r="9" spans="1:5">
      <c r="B9" s="52" t="s">
        <v>203</v>
      </c>
      <c r="C9" s="39">
        <v>209</v>
      </c>
    </row>
    <row r="10" spans="1:5">
      <c r="B10" s="52" t="s">
        <v>204</v>
      </c>
      <c r="C10" s="39">
        <v>225</v>
      </c>
    </row>
    <row r="11" spans="1:5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</cols>
  <sheetData>
    <row r="1" spans="1:4" s="2" customFormat="1" ht="32.700000000000003" customHeight="1" thickBot="1">
      <c r="A1" s="36">
        <v>21</v>
      </c>
      <c r="B1" s="1" t="s">
        <v>208</v>
      </c>
    </row>
    <row r="2" spans="1:4">
      <c r="A2" s="37" t="s">
        <v>2</v>
      </c>
    </row>
    <row r="3" spans="1:4">
      <c r="B3" s="42" t="s">
        <v>209</v>
      </c>
    </row>
    <row r="4" spans="1:4">
      <c r="B4" s="39">
        <v>154</v>
      </c>
      <c r="D4">
        <f>COUNTA(B4:B11)</f>
        <v>6</v>
      </c>
    </row>
    <row r="5" spans="1:4">
      <c r="B5" s="39">
        <v>174</v>
      </c>
    </row>
    <row r="6" spans="1:4">
      <c r="B6" s="39" t="s">
        <v>210</v>
      </c>
    </row>
    <row r="7" spans="1:4">
      <c r="B7" s="39">
        <v>177</v>
      </c>
    </row>
    <row r="8" spans="1:4">
      <c r="B8" s="39" t="e">
        <v>#N/A</v>
      </c>
    </row>
    <row r="9" spans="1:4">
      <c r="B9" s="39"/>
    </row>
    <row r="10" spans="1:4">
      <c r="B10" s="39">
        <v>225</v>
      </c>
    </row>
    <row r="11" spans="1:4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11.58203125" customWidth="1"/>
  </cols>
  <sheetData>
    <row r="1" spans="1:7" s="2" customFormat="1" ht="32.700000000000003" customHeight="1" thickBot="1">
      <c r="A1" s="36">
        <v>22</v>
      </c>
      <c r="B1" s="1" t="s">
        <v>211</v>
      </c>
    </row>
    <row r="2" spans="1:7">
      <c r="A2" s="37" t="s">
        <v>2</v>
      </c>
    </row>
    <row r="3" spans="1:7">
      <c r="B3" s="3" t="s">
        <v>192</v>
      </c>
      <c r="C3" s="42" t="s">
        <v>196</v>
      </c>
      <c r="E3" t="s">
        <v>212</v>
      </c>
    </row>
    <row r="4" spans="1:7">
      <c r="B4" s="52" t="s">
        <v>198</v>
      </c>
      <c r="C4" s="39">
        <v>154</v>
      </c>
      <c r="E4">
        <f>COUNTBLANK(C4:C11)</f>
        <v>2</v>
      </c>
    </row>
    <row r="5" spans="1:7">
      <c r="B5" s="52" t="s">
        <v>199</v>
      </c>
      <c r="C5" s="39">
        <v>174</v>
      </c>
      <c r="G5">
        <v>154</v>
      </c>
    </row>
    <row r="6" spans="1:7">
      <c r="B6" s="52" t="s">
        <v>200</v>
      </c>
      <c r="C6" s="39"/>
      <c r="G6">
        <v>174</v>
      </c>
    </row>
    <row r="7" spans="1:7">
      <c r="B7" s="52" t="s">
        <v>201</v>
      </c>
      <c r="C7" s="39">
        <v>177</v>
      </c>
      <c r="G7">
        <v>161</v>
      </c>
    </row>
    <row r="8" spans="1:7">
      <c r="B8" s="52" t="s">
        <v>202</v>
      </c>
      <c r="C8" s="39"/>
      <c r="G8">
        <v>177</v>
      </c>
    </row>
    <row r="9" spans="1:7">
      <c r="B9" s="52" t="s">
        <v>203</v>
      </c>
      <c r="C9" s="39">
        <v>209</v>
      </c>
      <c r="G9">
        <v>184</v>
      </c>
    </row>
    <row r="10" spans="1:7">
      <c r="B10" s="52" t="s">
        <v>204</v>
      </c>
      <c r="C10" s="39">
        <v>225</v>
      </c>
      <c r="G10">
        <v>209</v>
      </c>
    </row>
    <row r="11" spans="1:7">
      <c r="B11" s="52" t="s">
        <v>205</v>
      </c>
      <c r="C11" s="39">
        <v>245</v>
      </c>
      <c r="G11">
        <v>225</v>
      </c>
    </row>
    <row r="12" spans="1:7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>
      <c r="A1" s="36">
        <v>23</v>
      </c>
      <c r="B1" s="1" t="s">
        <v>213</v>
      </c>
    </row>
    <row r="2" spans="1:10">
      <c r="A2" s="37" t="s">
        <v>2</v>
      </c>
    </row>
    <row r="3" spans="1:10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>
      <c r="B5" s="39" t="s">
        <v>217</v>
      </c>
      <c r="C5" s="39" t="s">
        <v>92</v>
      </c>
      <c r="D5" s="39">
        <v>6200</v>
      </c>
    </row>
    <row r="6" spans="1:10">
      <c r="B6" s="39" t="s">
        <v>218</v>
      </c>
      <c r="C6" s="39" t="s">
        <v>94</v>
      </c>
      <c r="D6" s="39">
        <v>31500</v>
      </c>
    </row>
    <row r="7" spans="1:10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>
      <c r="B9" s="39" t="s">
        <v>222</v>
      </c>
      <c r="C9" s="39" t="s">
        <v>94</v>
      </c>
      <c r="D9" s="39">
        <v>7200</v>
      </c>
    </row>
    <row r="10" spans="1:10">
      <c r="B10" s="39" t="s">
        <v>223</v>
      </c>
      <c r="C10" s="39" t="s">
        <v>90</v>
      </c>
      <c r="D10" s="39">
        <v>27500</v>
      </c>
    </row>
    <row r="11" spans="1:10">
      <c r="B11" s="39" t="s">
        <v>224</v>
      </c>
      <c r="C11" s="39" t="s">
        <v>92</v>
      </c>
      <c r="D11" s="39">
        <v>6400</v>
      </c>
    </row>
    <row r="12" spans="1:10">
      <c r="B12" s="39" t="s">
        <v>225</v>
      </c>
      <c r="C12" s="39" t="s">
        <v>94</v>
      </c>
      <c r="D12" s="39">
        <v>5900</v>
      </c>
    </row>
    <row r="13" spans="1:10">
      <c r="B13" s="39" t="s">
        <v>219</v>
      </c>
      <c r="C13" s="39" t="s">
        <v>90</v>
      </c>
      <c r="D13" s="39">
        <v>25500</v>
      </c>
    </row>
    <row r="15" spans="1:10">
      <c r="A15" s="37" t="s">
        <v>2</v>
      </c>
    </row>
    <row r="17" spans="2:9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>
      <c r="B18" s="39" t="s">
        <v>226</v>
      </c>
      <c r="C18" s="39" t="s">
        <v>90</v>
      </c>
      <c r="D18" s="39">
        <v>34000</v>
      </c>
      <c r="F18" s="4" t="s">
        <v>226</v>
      </c>
      <c r="G18" s="4"/>
    </row>
    <row r="19" spans="2:9">
      <c r="B19" s="39" t="s">
        <v>227</v>
      </c>
      <c r="C19" s="39" t="s">
        <v>92</v>
      </c>
      <c r="D19" s="39">
        <v>5000</v>
      </c>
    </row>
    <row r="20" spans="2:9">
      <c r="B20" s="39" t="s">
        <v>228</v>
      </c>
      <c r="C20" s="39" t="s">
        <v>94</v>
      </c>
      <c r="D20" s="39">
        <v>76000</v>
      </c>
    </row>
    <row r="21" spans="2:9">
      <c r="B21" s="39" t="s">
        <v>229</v>
      </c>
      <c r="C21" s="39" t="s">
        <v>90</v>
      </c>
      <c r="D21" s="39">
        <v>45000</v>
      </c>
    </row>
    <row r="22" spans="2:9">
      <c r="B22" s="39" t="s">
        <v>230</v>
      </c>
      <c r="C22" s="39" t="s">
        <v>92</v>
      </c>
      <c r="D22" s="39">
        <v>8700</v>
      </c>
    </row>
    <row r="23" spans="2:9">
      <c r="B23" s="39" t="s">
        <v>228</v>
      </c>
      <c r="C23" s="39" t="s">
        <v>94</v>
      </c>
      <c r="D23" s="39">
        <v>5600</v>
      </c>
    </row>
    <row r="24" spans="2:9">
      <c r="B24" s="39" t="s">
        <v>231</v>
      </c>
      <c r="C24" s="39" t="s">
        <v>90</v>
      </c>
      <c r="D24" s="39">
        <v>45000</v>
      </c>
    </row>
    <row r="25" spans="2:9">
      <c r="B25" s="39" t="s">
        <v>232</v>
      </c>
      <c r="C25" s="39" t="s">
        <v>92</v>
      </c>
      <c r="D25" s="39">
        <v>5600</v>
      </c>
    </row>
    <row r="26" spans="2:9">
      <c r="B26" s="39" t="s">
        <v>228</v>
      </c>
      <c r="C26" s="39" t="s">
        <v>94</v>
      </c>
      <c r="D26" s="39">
        <v>5600</v>
      </c>
    </row>
    <row r="27" spans="2:9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>
      <c r="A1" s="36">
        <v>24</v>
      </c>
      <c r="B1" s="1" t="s">
        <v>234</v>
      </c>
    </row>
    <row r="2" spans="1:11">
      <c r="A2" s="37" t="s">
        <v>2</v>
      </c>
    </row>
    <row r="3" spans="1:11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>
      <c r="B5" s="39" t="s">
        <v>237</v>
      </c>
      <c r="C5" s="39" t="s">
        <v>92</v>
      </c>
      <c r="D5" s="39">
        <v>6200</v>
      </c>
    </row>
    <row r="6" spans="1:11">
      <c r="B6" s="39" t="s">
        <v>238</v>
      </c>
      <c r="C6" s="39" t="s">
        <v>94</v>
      </c>
      <c r="D6" s="39">
        <v>31500</v>
      </c>
    </row>
    <row r="7" spans="1:11">
      <c r="B7" s="39" t="s">
        <v>235</v>
      </c>
      <c r="C7" s="39" t="s">
        <v>90</v>
      </c>
      <c r="D7" s="39">
        <v>28500</v>
      </c>
    </row>
    <row r="8" spans="1:11">
      <c r="B8" s="39" t="s">
        <v>237</v>
      </c>
      <c r="C8" s="39" t="s">
        <v>92</v>
      </c>
      <c r="D8" s="39">
        <v>9400</v>
      </c>
    </row>
    <row r="9" spans="1:11">
      <c r="B9" s="39" t="s">
        <v>238</v>
      </c>
      <c r="C9" s="39" t="s">
        <v>94</v>
      </c>
      <c r="D9" s="39">
        <v>7200</v>
      </c>
    </row>
    <row r="10" spans="1:11">
      <c r="B10" s="39" t="s">
        <v>235</v>
      </c>
      <c r="C10" s="39" t="s">
        <v>90</v>
      </c>
      <c r="D10" s="39">
        <v>27500</v>
      </c>
    </row>
    <row r="11" spans="1:11">
      <c r="B11" s="39" t="s">
        <v>237</v>
      </c>
      <c r="C11" s="39" t="s">
        <v>92</v>
      </c>
      <c r="D11" s="39">
        <v>6400</v>
      </c>
    </row>
    <row r="12" spans="1:11">
      <c r="B12" s="39" t="s">
        <v>239</v>
      </c>
      <c r="C12" s="39" t="s">
        <v>94</v>
      </c>
      <c r="D12" s="39">
        <v>5900</v>
      </c>
    </row>
    <row r="13" spans="1:11">
      <c r="B13" s="39" t="s">
        <v>235</v>
      </c>
      <c r="C13" s="39" t="s">
        <v>90</v>
      </c>
      <c r="D13" s="39">
        <v>25500</v>
      </c>
    </row>
    <row r="17" spans="2:9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>
      <c r="B18" s="39" t="s">
        <v>240</v>
      </c>
      <c r="C18" s="39" t="s">
        <v>90</v>
      </c>
      <c r="D18" s="39">
        <v>34000</v>
      </c>
      <c r="F18" s="39" t="s">
        <v>156</v>
      </c>
      <c r="G18" s="4"/>
      <c r="H18" s="4"/>
    </row>
    <row r="19" spans="2:9">
      <c r="B19" s="39" t="s">
        <v>237</v>
      </c>
      <c r="C19" s="39" t="s">
        <v>92</v>
      </c>
      <c r="D19" s="39">
        <v>5000</v>
      </c>
    </row>
    <row r="20" spans="2:9">
      <c r="B20" s="39" t="s">
        <v>155</v>
      </c>
      <c r="C20" s="39" t="s">
        <v>94</v>
      </c>
      <c r="D20" s="39">
        <v>76000</v>
      </c>
    </row>
    <row r="21" spans="2:9">
      <c r="B21" s="39" t="s">
        <v>156</v>
      </c>
      <c r="C21" s="39" t="s">
        <v>90</v>
      </c>
      <c r="D21" s="39">
        <v>45000</v>
      </c>
    </row>
    <row r="22" spans="2:9">
      <c r="B22" s="39" t="s">
        <v>239</v>
      </c>
      <c r="C22" s="39" t="s">
        <v>92</v>
      </c>
      <c r="D22" s="39">
        <v>8700</v>
      </c>
    </row>
    <row r="23" spans="2:9">
      <c r="B23" s="39" t="s">
        <v>155</v>
      </c>
      <c r="C23" s="39" t="s">
        <v>94</v>
      </c>
      <c r="D23" s="39">
        <v>5600</v>
      </c>
    </row>
    <row r="24" spans="2:9">
      <c r="B24" s="39" t="s">
        <v>156</v>
      </c>
      <c r="C24" s="39" t="s">
        <v>90</v>
      </c>
      <c r="D24" s="39">
        <v>45000</v>
      </c>
    </row>
    <row r="25" spans="2:9">
      <c r="B25" s="39" t="s">
        <v>241</v>
      </c>
      <c r="C25" s="39" t="s">
        <v>92</v>
      </c>
      <c r="D25" s="39">
        <v>5600</v>
      </c>
    </row>
    <row r="26" spans="2:9">
      <c r="B26" s="39" t="s">
        <v>242</v>
      </c>
      <c r="C26" s="39" t="s">
        <v>94</v>
      </c>
      <c r="D26" s="39">
        <v>5600</v>
      </c>
    </row>
    <row r="27" spans="2:9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>
      <c r="A1" s="36">
        <v>25</v>
      </c>
      <c r="B1" s="1" t="s">
        <v>243</v>
      </c>
    </row>
    <row r="2" spans="1:9">
      <c r="A2" s="37" t="s">
        <v>2</v>
      </c>
    </row>
    <row r="3" spans="1:9">
      <c r="B3" s="136" t="s">
        <v>244</v>
      </c>
      <c r="C3" s="22">
        <f>SUBTOTAL(109,D6:D14)</f>
        <v>10</v>
      </c>
      <c r="E3" s="3" t="s">
        <v>245</v>
      </c>
      <c r="F3" s="22"/>
      <c r="H3" s="3" t="s">
        <v>246</v>
      </c>
      <c r="I3" s="22">
        <f>SUBTOTAL(2,F6:F14)</f>
        <v>2</v>
      </c>
    </row>
    <row r="5" spans="1:9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11" activePane="bottomLeft" state="frozen"/>
      <selection pane="bottomLeft" activeCell="G17" sqref="G17"/>
    </sheetView>
  </sheetViews>
  <sheetFormatPr defaultRowHeight="18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>
      <c r="A1" s="36">
        <v>26</v>
      </c>
      <c r="B1" s="1" t="s">
        <v>247</v>
      </c>
    </row>
    <row r="2" spans="1:7">
      <c r="A2" s="37" t="s">
        <v>2</v>
      </c>
    </row>
    <row r="3" spans="1:7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>
      <c r="B13" s="3" t="s">
        <v>249</v>
      </c>
      <c r="C13" s="3" t="s">
        <v>250</v>
      </c>
      <c r="D13" s="3" t="s">
        <v>248</v>
      </c>
    </row>
    <row r="14" spans="1:7">
      <c r="B14" s="4">
        <v>200</v>
      </c>
      <c r="C14" s="4">
        <v>140</v>
      </c>
      <c r="D14" s="23">
        <f>C14/B14</f>
        <v>0.7</v>
      </c>
    </row>
    <row r="17" spans="2:7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>
      <c r="B18" s="51" t="s">
        <v>255</v>
      </c>
      <c r="C18" s="39">
        <v>14500</v>
      </c>
      <c r="D18" s="39">
        <f>C18*5%</f>
        <v>725</v>
      </c>
      <c r="E18" s="56">
        <f t="shared" ref="E18:E25" si="2">C18+C18*10%</f>
        <v>15950</v>
      </c>
      <c r="F18" s="50"/>
    </row>
    <row r="19" spans="2:7">
      <c r="B19" s="51" t="s">
        <v>256</v>
      </c>
      <c r="C19" s="39">
        <v>11500</v>
      </c>
      <c r="D19" s="39">
        <f t="shared" ref="D18:D25" si="3">C19*5%</f>
        <v>575</v>
      </c>
      <c r="E19" s="39">
        <f t="shared" si="2"/>
        <v>12650</v>
      </c>
      <c r="F19" s="50"/>
    </row>
    <row r="20" spans="2:7">
      <c r="B20" s="51" t="s">
        <v>257</v>
      </c>
      <c r="C20" s="39">
        <v>15800</v>
      </c>
      <c r="D20" s="39">
        <f t="shared" si="3"/>
        <v>790</v>
      </c>
      <c r="E20" s="39">
        <f t="shared" si="2"/>
        <v>17380</v>
      </c>
      <c r="F20" s="50"/>
    </row>
    <row r="21" spans="2:7">
      <c r="B21" s="51" t="s">
        <v>258</v>
      </c>
      <c r="C21" s="39">
        <v>23000</v>
      </c>
      <c r="D21" s="39">
        <f t="shared" si="3"/>
        <v>1150</v>
      </c>
      <c r="E21" s="39">
        <f t="shared" si="2"/>
        <v>25300</v>
      </c>
      <c r="F21" s="50"/>
    </row>
    <row r="22" spans="2:7">
      <c r="B22" s="51" t="s">
        <v>259</v>
      </c>
      <c r="C22" s="39">
        <v>13500</v>
      </c>
      <c r="D22" s="39">
        <f t="shared" si="3"/>
        <v>675</v>
      </c>
      <c r="E22" s="39">
        <f t="shared" si="2"/>
        <v>14850</v>
      </c>
      <c r="F22" s="50"/>
    </row>
    <row r="23" spans="2:7">
      <c r="B23" s="51" t="s">
        <v>260</v>
      </c>
      <c r="C23" s="39">
        <v>12000</v>
      </c>
      <c r="D23" s="39">
        <f t="shared" si="3"/>
        <v>600</v>
      </c>
      <c r="E23" s="39">
        <f t="shared" si="2"/>
        <v>13200</v>
      </c>
      <c r="F23" s="50"/>
    </row>
    <row r="24" spans="2:7">
      <c r="B24" s="51" t="s">
        <v>261</v>
      </c>
      <c r="C24" s="39">
        <v>98000</v>
      </c>
      <c r="D24" s="39">
        <f t="shared" si="3"/>
        <v>4900</v>
      </c>
      <c r="E24" s="39">
        <f t="shared" si="2"/>
        <v>107800</v>
      </c>
      <c r="F24" s="50"/>
    </row>
    <row r="25" spans="2:7">
      <c r="B25" s="51" t="s">
        <v>262</v>
      </c>
      <c r="C25" s="39">
        <v>21000</v>
      </c>
      <c r="D25" s="39">
        <f t="shared" si="3"/>
        <v>1050</v>
      </c>
      <c r="E25" s="39">
        <f t="shared" si="2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11" activePane="bottomLeft" state="frozen"/>
      <selection pane="bottomLeft" activeCell="F23" sqref="F23"/>
    </sheetView>
  </sheetViews>
  <sheetFormatPr defaultRowHeight="18"/>
  <cols>
    <col min="1" max="1" width="12.75" customWidth="1"/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>
      <c r="A1" s="36">
        <v>27</v>
      </c>
      <c r="B1" s="1" t="s">
        <v>263</v>
      </c>
    </row>
    <row r="2" spans="1:7">
      <c r="A2" s="37" t="s">
        <v>2</v>
      </c>
    </row>
    <row r="3" spans="1:7">
      <c r="B3" s="3" t="s">
        <v>83</v>
      </c>
      <c r="C3" s="3" t="s">
        <v>127</v>
      </c>
      <c r="F3" s="38"/>
      <c r="G3" s="38"/>
    </row>
    <row r="4" spans="1:7">
      <c r="B4" t="s">
        <v>264</v>
      </c>
      <c r="C4">
        <v>125</v>
      </c>
      <c r="D4" s="24" t="e" cm="1">
        <f t="array" aca="1" ref="D4" ca="1">PERCENTOF(C4,$C$4:$C$12)</f>
        <v>#NAME?</v>
      </c>
    </row>
    <row r="5" spans="1:7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>
      <c r="B6" t="s">
        <v>266</v>
      </c>
      <c r="C6">
        <v>60</v>
      </c>
      <c r="D6" s="24" t="e" vm="1">
        <f t="shared" ca="1" si="0"/>
        <v>#NAME?</v>
      </c>
    </row>
    <row r="7" spans="1:7">
      <c r="B7" t="s">
        <v>267</v>
      </c>
      <c r="C7">
        <v>40</v>
      </c>
      <c r="D7" s="24" t="e" vm="1">
        <f t="shared" ca="1" si="0"/>
        <v>#NAME?</v>
      </c>
    </row>
    <row r="8" spans="1:7">
      <c r="B8" t="s">
        <v>268</v>
      </c>
      <c r="C8">
        <v>25</v>
      </c>
      <c r="D8" s="24" t="e" vm="1">
        <f t="shared" ca="1" si="0"/>
        <v>#NAME?</v>
      </c>
    </row>
    <row r="9" spans="1:7">
      <c r="B9" t="s">
        <v>269</v>
      </c>
      <c r="C9">
        <v>35</v>
      </c>
      <c r="D9" s="24" t="e" vm="1">
        <f t="shared" ca="1" si="0"/>
        <v>#NAME?</v>
      </c>
    </row>
    <row r="10" spans="1:7">
      <c r="B10" t="s">
        <v>270</v>
      </c>
      <c r="C10">
        <v>350</v>
      </c>
      <c r="D10" s="24" t="e" vm="1">
        <f t="shared" ca="1" si="0"/>
        <v>#NAME?</v>
      </c>
    </row>
    <row r="11" spans="1:7">
      <c r="B11" t="s">
        <v>271</v>
      </c>
      <c r="C11">
        <v>70</v>
      </c>
      <c r="D11" s="24" t="e" vm="1">
        <f t="shared" ca="1" si="0"/>
        <v>#NAME?</v>
      </c>
    </row>
    <row r="12" spans="1:7">
      <c r="B12" t="s">
        <v>272</v>
      </c>
      <c r="C12">
        <v>90</v>
      </c>
      <c r="D12" s="24" t="e" vm="1">
        <f t="shared" ca="1" si="0"/>
        <v>#NAME?</v>
      </c>
    </row>
    <row r="13" spans="1:7">
      <c r="D13" s="25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>
      <c r="A1" s="36">
        <v>28</v>
      </c>
      <c r="B1" s="1" t="s">
        <v>273</v>
      </c>
    </row>
    <row r="2" spans="1:5">
      <c r="A2" s="37" t="s">
        <v>2</v>
      </c>
    </row>
    <row r="3" spans="1:5">
      <c r="B3" s="40" t="s">
        <v>83</v>
      </c>
      <c r="C3" s="40" t="s">
        <v>209</v>
      </c>
      <c r="E3" s="38"/>
    </row>
    <row r="4" spans="1:5">
      <c r="B4" s="39" t="s">
        <v>274</v>
      </c>
      <c r="C4" s="39">
        <f ca="1">RAND()</f>
        <v>0.6660472737901425</v>
      </c>
    </row>
    <row r="5" spans="1:5">
      <c r="B5" s="39" t="s">
        <v>215</v>
      </c>
      <c r="C5" s="39">
        <f t="shared" ref="C5:C12" ca="1" si="0">RAND()</f>
        <v>0.33278876514733013</v>
      </c>
    </row>
    <row r="6" spans="1:5">
      <c r="B6" s="39" t="s">
        <v>275</v>
      </c>
      <c r="C6" s="39">
        <f t="shared" ca="1" si="0"/>
        <v>6.5464189097637293E-2</v>
      </c>
    </row>
    <row r="7" spans="1:5">
      <c r="B7" s="39" t="s">
        <v>276</v>
      </c>
      <c r="C7" s="39">
        <f t="shared" ca="1" si="0"/>
        <v>0.21595040957036327</v>
      </c>
    </row>
    <row r="8" spans="1:5">
      <c r="B8" s="39" t="s">
        <v>277</v>
      </c>
      <c r="C8" s="39">
        <f t="shared" ca="1" si="0"/>
        <v>0.76682646055006431</v>
      </c>
    </row>
    <row r="9" spans="1:5">
      <c r="B9" s="39" t="s">
        <v>278</v>
      </c>
      <c r="C9" s="39">
        <f t="shared" ca="1" si="0"/>
        <v>0.85174296298692831</v>
      </c>
    </row>
    <row r="10" spans="1:5">
      <c r="B10" s="39" t="s">
        <v>222</v>
      </c>
      <c r="C10" s="39">
        <f t="shared" ca="1" si="0"/>
        <v>8.8661727166390203E-2</v>
      </c>
    </row>
    <row r="11" spans="1:5">
      <c r="B11" s="39" t="s">
        <v>224</v>
      </c>
      <c r="C11" s="39">
        <f t="shared" ca="1" si="0"/>
        <v>0.31229248627867623</v>
      </c>
    </row>
    <row r="12" spans="1:5">
      <c r="B12" s="39" t="s">
        <v>279</v>
      </c>
      <c r="C12" s="39">
        <f t="shared" ca="1" si="0"/>
        <v>0.13324671960761381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>
      <c r="A1" s="36">
        <v>29</v>
      </c>
      <c r="B1" s="1" t="s">
        <v>280</v>
      </c>
    </row>
    <row r="2" spans="1:7">
      <c r="A2" s="37" t="s">
        <v>2</v>
      </c>
    </row>
    <row r="3" spans="1:7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>
      <c r="B4" s="52" t="s">
        <v>205</v>
      </c>
      <c r="C4" s="4">
        <v>15</v>
      </c>
      <c r="D4" s="4">
        <v>5</v>
      </c>
      <c r="E4" s="4">
        <v>89</v>
      </c>
      <c r="F4" s="4"/>
      <c r="G4" s="26"/>
    </row>
    <row r="5" spans="1:7">
      <c r="B5" s="52" t="s">
        <v>201</v>
      </c>
      <c r="C5" s="4">
        <v>16</v>
      </c>
      <c r="D5" s="4">
        <v>36</v>
      </c>
      <c r="E5" s="4">
        <v>13</v>
      </c>
      <c r="F5" s="4"/>
      <c r="G5" s="26"/>
    </row>
    <row r="6" spans="1:7">
      <c r="B6" s="52" t="s">
        <v>204</v>
      </c>
      <c r="C6" s="4">
        <v>50</v>
      </c>
      <c r="D6" s="4">
        <v>53</v>
      </c>
      <c r="E6" s="4">
        <v>76</v>
      </c>
      <c r="F6" s="4"/>
      <c r="G6" s="26"/>
    </row>
    <row r="7" spans="1:7">
      <c r="B7" s="52" t="s">
        <v>198</v>
      </c>
      <c r="C7" s="4">
        <v>20</v>
      </c>
      <c r="D7" s="4">
        <v>54</v>
      </c>
      <c r="E7" s="4">
        <v>19</v>
      </c>
      <c r="F7" s="4"/>
      <c r="G7" s="26"/>
    </row>
    <row r="8" spans="1:7">
      <c r="B8" s="52" t="s">
        <v>200</v>
      </c>
      <c r="C8" s="4">
        <v>19</v>
      </c>
      <c r="D8" s="4">
        <v>54</v>
      </c>
      <c r="E8" s="4">
        <v>67</v>
      </c>
      <c r="F8" s="4"/>
      <c r="G8" s="26"/>
    </row>
    <row r="9" spans="1:7">
      <c r="B9" s="52" t="s">
        <v>202</v>
      </c>
      <c r="C9" s="4">
        <v>81</v>
      </c>
      <c r="D9" s="4">
        <v>20</v>
      </c>
      <c r="E9" s="4">
        <v>28</v>
      </c>
      <c r="F9" s="4"/>
      <c r="G9" s="26"/>
    </row>
    <row r="10" spans="1:7">
      <c r="B10" s="52" t="s">
        <v>203</v>
      </c>
      <c r="C10" s="4">
        <v>86</v>
      </c>
      <c r="D10" s="4">
        <v>74</v>
      </c>
      <c r="E10" s="4">
        <v>9</v>
      </c>
      <c r="F10" s="4"/>
      <c r="G10" s="26"/>
    </row>
    <row r="11" spans="1:7">
      <c r="B11" s="52" t="s">
        <v>199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23.4140625" customWidth="1"/>
    <col min="3" max="3" width="3.1640625" customWidth="1"/>
  </cols>
  <sheetData>
    <row r="1" spans="1:4" s="2" customFormat="1" ht="32.700000000000003" customHeight="1" thickBot="1">
      <c r="A1" s="36">
        <v>30</v>
      </c>
      <c r="B1" s="1" t="s">
        <v>281</v>
      </c>
    </row>
    <row r="2" spans="1:4">
      <c r="A2" s="37" t="s">
        <v>2</v>
      </c>
    </row>
    <row r="3" spans="1:4">
      <c r="B3" s="3" t="s">
        <v>282</v>
      </c>
    </row>
    <row r="4" spans="1:4">
      <c r="B4" s="4">
        <v>-2000</v>
      </c>
      <c r="D4">
        <f>ABS(B4)</f>
        <v>2000</v>
      </c>
    </row>
    <row r="5" spans="1:4">
      <c r="B5" s="4">
        <v>5000</v>
      </c>
      <c r="D5">
        <f t="shared" ref="D5:D11" si="0">ABS(B5)</f>
        <v>5000</v>
      </c>
    </row>
    <row r="6" spans="1:4">
      <c r="B6" s="4">
        <v>10000</v>
      </c>
      <c r="D6">
        <f t="shared" si="0"/>
        <v>10000</v>
      </c>
    </row>
    <row r="7" spans="1:4">
      <c r="B7" s="4">
        <v>-5000</v>
      </c>
      <c r="D7">
        <f t="shared" si="0"/>
        <v>5000</v>
      </c>
    </row>
    <row r="8" spans="1:4">
      <c r="B8" s="4">
        <v>-12000</v>
      </c>
      <c r="D8">
        <f t="shared" si="0"/>
        <v>12000</v>
      </c>
    </row>
    <row r="9" spans="1:4">
      <c r="B9" s="4">
        <v>-2500</v>
      </c>
      <c r="D9">
        <f t="shared" si="0"/>
        <v>2500</v>
      </c>
    </row>
    <row r="10" spans="1:4">
      <c r="B10" s="4">
        <v>1500</v>
      </c>
      <c r="D10">
        <f t="shared" si="0"/>
        <v>1500</v>
      </c>
    </row>
    <row r="11" spans="1:4">
      <c r="B11" s="4">
        <v>-1350</v>
      </c>
      <c r="D11">
        <f t="shared" si="0"/>
        <v>1350</v>
      </c>
    </row>
    <row r="12" spans="1:4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I11"/>
  <sheetViews>
    <sheetView zoomScale="130" zoomScaleNormal="130" workbookViewId="0">
      <pane ySplit="1" topLeftCell="A2" activePane="bottomLeft" state="frozen"/>
      <selection pane="bottomLeft" activeCell="I8" sqref="I8"/>
    </sheetView>
  </sheetViews>
  <sheetFormatPr defaultRowHeight="18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8" customWidth="1"/>
  </cols>
  <sheetData>
    <row r="1" spans="1:9" s="2" customFormat="1" ht="32.700000000000003" customHeight="1" thickBot="1">
      <c r="A1" s="36">
        <v>31</v>
      </c>
      <c r="B1" s="1" t="s">
        <v>283</v>
      </c>
    </row>
    <row r="2" spans="1:9">
      <c r="A2" s="37" t="s">
        <v>2</v>
      </c>
    </row>
    <row r="3" spans="1:9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9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  <c r="H4">
        <f>C4+D4+E4</f>
        <v>202</v>
      </c>
      <c r="I4" t="s">
        <v>979</v>
      </c>
    </row>
    <row r="5" spans="1:9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  <c r="H5">
        <f t="shared" ref="H5:H11" si="0">C5+D5+E5</f>
        <v>188</v>
      </c>
    </row>
    <row r="6" spans="1:9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  <c r="H6">
        <f t="shared" si="0"/>
        <v>151</v>
      </c>
    </row>
    <row r="7" spans="1:9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  <c r="H7">
        <f t="shared" si="0"/>
        <v>150</v>
      </c>
    </row>
    <row r="8" spans="1:9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  <c r="H8">
        <f t="shared" si="0"/>
        <v>148</v>
      </c>
    </row>
    <row r="9" spans="1:9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  <c r="H9">
        <f t="shared" si="0"/>
        <v>238</v>
      </c>
    </row>
    <row r="10" spans="1:9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  <c r="H10">
        <f t="shared" si="0"/>
        <v>182</v>
      </c>
    </row>
    <row r="11" spans="1:9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  <c r="H11">
        <f t="shared" si="0"/>
        <v>256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>
      <c r="A1" s="36">
        <v>32</v>
      </c>
      <c r="B1" s="1" t="s">
        <v>284</v>
      </c>
    </row>
    <row r="2" spans="1:7">
      <c r="A2" s="37" t="s">
        <v>2</v>
      </c>
    </row>
    <row r="3" spans="1:7">
      <c r="B3" s="3" t="s">
        <v>285</v>
      </c>
      <c r="C3" s="3"/>
      <c r="E3" s="3" t="s">
        <v>286</v>
      </c>
      <c r="F3" s="3"/>
      <c r="G3" s="3"/>
    </row>
    <row r="4" spans="1:7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>
      <c r="B9" s="3" t="s">
        <v>96</v>
      </c>
      <c r="C9" s="3"/>
      <c r="E9" s="3" t="s">
        <v>286</v>
      </c>
      <c r="F9" s="3"/>
    </row>
    <row r="10" spans="1:7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>
      <c r="A1" s="36">
        <v>33</v>
      </c>
      <c r="B1" s="1" t="s">
        <v>287</v>
      </c>
    </row>
    <row r="2" spans="1:5">
      <c r="A2" s="37" t="s">
        <v>2</v>
      </c>
    </row>
    <row r="3" spans="1:5">
      <c r="B3" s="40" t="s">
        <v>83</v>
      </c>
      <c r="C3" s="40" t="s">
        <v>83</v>
      </c>
      <c r="E3" s="38"/>
    </row>
    <row r="4" spans="1:5">
      <c r="B4" s="39" t="s">
        <v>288</v>
      </c>
      <c r="C4" s="39" t="str">
        <f>UPPER(B4)</f>
        <v>BREAD</v>
      </c>
    </row>
    <row r="5" spans="1:5">
      <c r="B5" s="39" t="s">
        <v>135</v>
      </c>
      <c r="C5" s="39" t="str">
        <f t="shared" ref="C5:C12" si="0">UPPER(B5)</f>
        <v>CHIPS</v>
      </c>
    </row>
    <row r="6" spans="1:5">
      <c r="B6" s="39" t="s">
        <v>289</v>
      </c>
      <c r="C6" s="39" t="str">
        <f t="shared" si="0"/>
        <v>JUICE</v>
      </c>
    </row>
    <row r="7" spans="1:5">
      <c r="B7" s="39" t="s">
        <v>290</v>
      </c>
      <c r="C7" s="39" t="str">
        <f t="shared" si="0"/>
        <v>APPLE</v>
      </c>
    </row>
    <row r="8" spans="1:5">
      <c r="B8" s="39" t="s">
        <v>291</v>
      </c>
      <c r="C8" s="39" t="str">
        <f t="shared" si="0"/>
        <v>CAKE</v>
      </c>
    </row>
    <row r="9" spans="1:5">
      <c r="B9" s="39" t="s">
        <v>292</v>
      </c>
      <c r="C9" s="39" t="str">
        <f t="shared" si="0"/>
        <v>RICE</v>
      </c>
    </row>
    <row r="10" spans="1:5">
      <c r="B10" s="39" t="s">
        <v>293</v>
      </c>
      <c r="C10" s="39" t="str">
        <f t="shared" si="0"/>
        <v>JAM</v>
      </c>
    </row>
    <row r="11" spans="1:5">
      <c r="B11" s="39" t="s">
        <v>294</v>
      </c>
      <c r="C11" s="39" t="str">
        <f t="shared" si="0"/>
        <v>NUTS</v>
      </c>
    </row>
    <row r="12" spans="1: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>
      <c r="A1" s="36">
        <v>34</v>
      </c>
      <c r="B1" s="1" t="s">
        <v>296</v>
      </c>
    </row>
    <row r="2" spans="1:3">
      <c r="A2" s="37" t="s">
        <v>2</v>
      </c>
    </row>
    <row r="3" spans="1:3">
      <c r="B3" s="40" t="s">
        <v>83</v>
      </c>
      <c r="C3" s="3" t="s">
        <v>83</v>
      </c>
    </row>
    <row r="4" spans="1:3">
      <c r="B4" s="39" t="s">
        <v>297</v>
      </c>
      <c r="C4" s="4" t="str">
        <f>LOWER(B4)</f>
        <v>milk</v>
      </c>
    </row>
    <row r="5" spans="1:3">
      <c r="B5" s="39" t="s">
        <v>298</v>
      </c>
      <c r="C5" s="4" t="str">
        <f t="shared" ref="C5:C12" si="0">LOWER(B5)</f>
        <v>butter</v>
      </c>
    </row>
    <row r="6" spans="1:3">
      <c r="B6" s="39" t="s">
        <v>299</v>
      </c>
      <c r="C6" s="4" t="str">
        <f t="shared" si="0"/>
        <v>cheese</v>
      </c>
    </row>
    <row r="7" spans="1:3">
      <c r="B7" s="39" t="s">
        <v>300</v>
      </c>
      <c r="C7" s="4" t="str">
        <f t="shared" si="0"/>
        <v>curd</v>
      </c>
    </row>
    <row r="8" spans="1:3">
      <c r="B8" s="39" t="s">
        <v>301</v>
      </c>
      <c r="C8" s="4" t="str">
        <f t="shared" si="0"/>
        <v>ghee</v>
      </c>
    </row>
    <row r="9" spans="1:3">
      <c r="B9" s="39" t="s">
        <v>302</v>
      </c>
      <c r="C9" s="4" t="str">
        <f t="shared" si="0"/>
        <v>cream</v>
      </c>
    </row>
    <row r="10" spans="1:3">
      <c r="B10" s="39" t="s">
        <v>303</v>
      </c>
      <c r="C10" s="4" t="str">
        <f t="shared" si="0"/>
        <v>paneer</v>
      </c>
    </row>
    <row r="11" spans="1:3">
      <c r="B11" s="39" t="s">
        <v>304</v>
      </c>
      <c r="C11" s="4" t="str">
        <f t="shared" si="0"/>
        <v>lassi</v>
      </c>
    </row>
    <row r="12" spans="1: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>
      <c r="A1" s="36">
        <v>35</v>
      </c>
      <c r="B1" s="1" t="s">
        <v>306</v>
      </c>
    </row>
    <row r="2" spans="1:3">
      <c r="A2" s="37" t="s">
        <v>2</v>
      </c>
    </row>
    <row r="3" spans="1:3">
      <c r="B3" s="42" t="s">
        <v>83</v>
      </c>
      <c r="C3" s="42" t="s">
        <v>83</v>
      </c>
    </row>
    <row r="4" spans="1:3">
      <c r="B4" s="39" t="s">
        <v>307</v>
      </c>
      <c r="C4" s="39" t="str">
        <f t="shared" ref="C4:C12" si="0">PROPER(B4)</f>
        <v>Wallet</v>
      </c>
    </row>
    <row r="5" spans="1:3">
      <c r="B5" s="39" t="s">
        <v>308</v>
      </c>
      <c r="C5" s="39" t="str">
        <f t="shared" si="0"/>
        <v>Sunglasses</v>
      </c>
    </row>
    <row r="6" spans="1:3">
      <c r="B6" s="39" t="s">
        <v>309</v>
      </c>
      <c r="C6" s="39" t="str">
        <f t="shared" si="0"/>
        <v>Watch</v>
      </c>
    </row>
    <row r="7" spans="1:3">
      <c r="B7" s="39" t="s">
        <v>310</v>
      </c>
      <c r="C7" s="39" t="str">
        <f t="shared" si="0"/>
        <v>Belt</v>
      </c>
    </row>
    <row r="8" spans="1:3">
      <c r="B8" s="39" t="s">
        <v>311</v>
      </c>
      <c r="C8" s="39" t="str">
        <f t="shared" si="0"/>
        <v>Shoes</v>
      </c>
    </row>
    <row r="9" spans="1:3">
      <c r="B9" s="39" t="s">
        <v>312</v>
      </c>
      <c r="C9" s="39" t="str">
        <f t="shared" si="0"/>
        <v>Tie</v>
      </c>
    </row>
    <row r="10" spans="1:3">
      <c r="B10" s="39" t="s">
        <v>313</v>
      </c>
      <c r="C10" s="39" t="str">
        <f t="shared" si="0"/>
        <v>Backpack</v>
      </c>
    </row>
    <row r="11" spans="1:3">
      <c r="B11" s="39" t="s">
        <v>314</v>
      </c>
      <c r="C11" s="39" t="str">
        <f t="shared" si="0"/>
        <v>Cap</v>
      </c>
    </row>
    <row r="12" spans="1: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4" width="13" customWidth="1"/>
    <col min="5" max="5" width="25.6640625" customWidth="1"/>
  </cols>
  <sheetData>
    <row r="1" spans="1:5" s="2" customFormat="1" ht="32.700000000000003" customHeight="1" thickBot="1">
      <c r="A1" s="36">
        <v>36</v>
      </c>
      <c r="B1" s="1" t="s">
        <v>316</v>
      </c>
    </row>
    <row r="2" spans="1:5">
      <c r="A2" s="37" t="s">
        <v>2</v>
      </c>
    </row>
    <row r="3" spans="1:5">
      <c r="B3" s="3" t="s">
        <v>317</v>
      </c>
      <c r="C3" s="3" t="s">
        <v>318</v>
      </c>
      <c r="D3" s="3" t="s">
        <v>319</v>
      </c>
      <c r="E3" s="3" t="s">
        <v>320</v>
      </c>
    </row>
    <row r="4" spans="1: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"/>
  <cols>
    <col min="2" max="4" width="13" customWidth="1"/>
    <col min="5" max="5" width="25.6640625" customWidth="1"/>
  </cols>
  <sheetData>
    <row r="1" spans="1:5" s="2" customFormat="1" ht="32.700000000000003" customHeight="1" thickBot="1">
      <c r="A1" s="36">
        <v>37</v>
      </c>
      <c r="B1" s="1" t="s">
        <v>333</v>
      </c>
    </row>
    <row r="2" spans="1:5">
      <c r="A2" s="37" t="s">
        <v>2</v>
      </c>
    </row>
    <row r="3" spans="1:5">
      <c r="B3" s="3" t="s">
        <v>317</v>
      </c>
      <c r="C3" s="3" t="s">
        <v>318</v>
      </c>
      <c r="D3" s="3" t="s">
        <v>319</v>
      </c>
      <c r="E3" s="3" t="s">
        <v>320</v>
      </c>
    </row>
    <row r="4" spans="1: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>
      <c r="B10" t="s">
        <v>96</v>
      </c>
    </row>
    <row r="11" spans="1:5">
      <c r="B11">
        <v>550</v>
      </c>
      <c r="C11" t="str">
        <f>"Price is = "&amp;B11</f>
        <v>Price is = 550</v>
      </c>
    </row>
    <row r="12" spans="1:5">
      <c r="B12">
        <v>345</v>
      </c>
      <c r="C12" t="str">
        <f>"Price is = "&amp;B12</f>
        <v>Price is = 345</v>
      </c>
    </row>
    <row r="13" spans="1: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6" sqref="F6"/>
    </sheetView>
  </sheetViews>
  <sheetFormatPr defaultRowHeight="18"/>
  <cols>
    <col min="2" max="4" width="13" customWidth="1"/>
    <col min="5" max="5" width="25.6640625" customWidth="1"/>
  </cols>
  <sheetData>
    <row r="1" spans="1:6" s="2" customFormat="1" ht="32.700000000000003" customHeight="1" thickBot="1">
      <c r="A1" s="36">
        <v>38</v>
      </c>
      <c r="B1" s="1" t="s">
        <v>334</v>
      </c>
    </row>
    <row r="2" spans="1:6">
      <c r="A2" s="37" t="s">
        <v>2</v>
      </c>
    </row>
    <row r="3" spans="1:6">
      <c r="B3" s="3" t="s">
        <v>317</v>
      </c>
      <c r="C3" s="3" t="s">
        <v>318</v>
      </c>
      <c r="D3" s="3" t="s">
        <v>319</v>
      </c>
      <c r="E3" s="3" t="s">
        <v>320</v>
      </c>
    </row>
    <row r="4" spans="1:6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  <c r="F4" t="str">
        <f>_xlfn.TEXTJOIN("-",TRUE,B4,C4,D4)</f>
        <v>raj-kumar-singh</v>
      </c>
    </row>
    <row r="5" spans="1:6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6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6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6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25.83203125" customWidth="1"/>
    <col min="3" max="3" width="17.4140625" customWidth="1"/>
  </cols>
  <sheetData>
    <row r="1" spans="1:5" s="2" customFormat="1" ht="32.700000000000003" customHeight="1" thickBot="1">
      <c r="A1" s="36">
        <v>39</v>
      </c>
      <c r="B1" s="1" t="s">
        <v>335</v>
      </c>
    </row>
    <row r="2" spans="1:5">
      <c r="A2" s="37" t="s">
        <v>2</v>
      </c>
    </row>
    <row r="3" spans="1:5">
      <c r="B3" s="3" t="s">
        <v>336</v>
      </c>
      <c r="C3" s="3" t="s">
        <v>337</v>
      </c>
    </row>
    <row r="4" spans="1:5">
      <c r="B4" s="4" t="s">
        <v>338</v>
      </c>
      <c r="C4" s="4" t="str">
        <f>LEFT(B4,6)</f>
        <v>110062</v>
      </c>
    </row>
    <row r="5" spans="1:5">
      <c r="B5" s="4" t="s">
        <v>339</v>
      </c>
      <c r="C5" s="4" t="str">
        <f>LEFT(B5,6)</f>
        <v>121102</v>
      </c>
    </row>
    <row r="6" spans="1:5">
      <c r="B6" s="4" t="s">
        <v>340</v>
      </c>
      <c r="C6" s="4" t="str">
        <f>LEFT(B6,6)</f>
        <v>140003</v>
      </c>
    </row>
    <row r="7" spans="1:5">
      <c r="B7" s="4" t="s">
        <v>341</v>
      </c>
      <c r="C7" s="4" t="str">
        <f>LEFT(B7,6)</f>
        <v>121102</v>
      </c>
    </row>
    <row r="9" spans="1:5">
      <c r="B9" t="s">
        <v>342</v>
      </c>
      <c r="C9">
        <f>FIND(",",B9)-1</f>
        <v>5</v>
      </c>
      <c r="E9" t="str">
        <f>LEFT(B9,FIND(",",B9)-1)</f>
        <v>delhi</v>
      </c>
    </row>
    <row r="10" spans="1:5">
      <c r="B10" t="s">
        <v>343</v>
      </c>
      <c r="C10">
        <f>FIND(",",B10)</f>
        <v>10</v>
      </c>
      <c r="E10" t="str">
        <f>LEFT(B10,FIND(",",B10)-1)</f>
        <v>faridabad</v>
      </c>
    </row>
    <row r="11" spans="1:5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25.83203125" customWidth="1"/>
    <col min="3" max="3" width="17.4140625" customWidth="1"/>
  </cols>
  <sheetData>
    <row r="1" spans="1:3" s="2" customFormat="1" ht="32.700000000000003" customHeight="1" thickBot="1">
      <c r="A1" s="36">
        <v>40</v>
      </c>
      <c r="B1" s="1" t="s">
        <v>345</v>
      </c>
    </row>
    <row r="2" spans="1:3">
      <c r="A2" s="37" t="s">
        <v>2</v>
      </c>
    </row>
    <row r="3" spans="1:3">
      <c r="B3" s="3" t="s">
        <v>336</v>
      </c>
      <c r="C3" s="3" t="s">
        <v>346</v>
      </c>
    </row>
    <row r="4" spans="1:3">
      <c r="B4" s="4" t="s">
        <v>338</v>
      </c>
      <c r="C4" s="4" t="str">
        <f>RIGHT(B4,10)</f>
        <v>9999999999</v>
      </c>
    </row>
    <row r="5" spans="1:3">
      <c r="B5" s="4" t="s">
        <v>339</v>
      </c>
      <c r="C5" s="4" t="str">
        <f>RIGHT(B5,10)</f>
        <v>4444444444</v>
      </c>
    </row>
    <row r="6" spans="1:3">
      <c r="B6" s="4" t="s">
        <v>340</v>
      </c>
      <c r="C6" s="4" t="str">
        <f>RIGHT(B6,10)</f>
        <v>3333333333</v>
      </c>
    </row>
    <row r="7" spans="1:3">
      <c r="B7" s="4" t="s">
        <v>341</v>
      </c>
      <c r="C7" s="4" t="str">
        <f>RIGHT(B7,10)</f>
        <v>4456555555</v>
      </c>
    </row>
    <row r="8" spans="1:3">
      <c r="C8" s="4" t="str">
        <f>RIGHT(B8,10)</f>
        <v/>
      </c>
    </row>
    <row r="9" spans="1:3">
      <c r="B9" t="s">
        <v>346</v>
      </c>
    </row>
    <row r="10" spans="1:3">
      <c r="B10">
        <v>91224567890</v>
      </c>
      <c r="C10" t="str">
        <f>LEFT(B10,4)&amp;"****"&amp;RIGHT(B10,3)</f>
        <v>9122****890</v>
      </c>
    </row>
    <row r="11" spans="1:3">
      <c r="B11">
        <v>91224567891</v>
      </c>
      <c r="C11" t="str">
        <f>LEFT(B11,4)&amp;"****"&amp;RIGHT(B11,3)</f>
        <v>9122****891</v>
      </c>
    </row>
    <row r="12" spans="1:3">
      <c r="B12">
        <v>91224567892</v>
      </c>
      <c r="C12" t="str">
        <f>LEFT(B12,4)&amp;"****"&amp;RIGHT(B12,3)</f>
        <v>9122****892</v>
      </c>
    </row>
    <row r="13" spans="1: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25.83203125" customWidth="1"/>
    <col min="3" max="3" width="17.4140625" customWidth="1"/>
  </cols>
  <sheetData>
    <row r="1" spans="1:3" s="2" customFormat="1" ht="32.700000000000003" customHeight="1" thickBot="1">
      <c r="A1" s="36">
        <v>41</v>
      </c>
      <c r="B1" s="1" t="s">
        <v>347</v>
      </c>
    </row>
    <row r="2" spans="1:3">
      <c r="A2" s="37" t="s">
        <v>2</v>
      </c>
    </row>
    <row r="3" spans="1:3">
      <c r="B3" s="3" t="s">
        <v>348</v>
      </c>
      <c r="C3" s="3"/>
    </row>
    <row r="4" spans="1:3">
      <c r="B4" s="4" t="s">
        <v>349</v>
      </c>
      <c r="C4" s="4" t="str">
        <f>MID(B4,7,7)</f>
        <v>2343454</v>
      </c>
    </row>
    <row r="5" spans="1:3">
      <c r="B5" s="4" t="s">
        <v>350</v>
      </c>
      <c r="C5" s="4" t="str">
        <f>MID(B5,7,7)</f>
        <v>2343455</v>
      </c>
    </row>
    <row r="6" spans="1:3">
      <c r="B6" s="4" t="s">
        <v>351</v>
      </c>
      <c r="C6" s="4" t="str">
        <f>MID(B6,7,7)</f>
        <v>2343456</v>
      </c>
    </row>
    <row r="7" spans="1: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>
      <c r="A1" s="36">
        <v>42</v>
      </c>
      <c r="B1" s="1" t="s">
        <v>353</v>
      </c>
      <c r="C1" s="1" t="s">
        <v>354</v>
      </c>
    </row>
    <row r="2" spans="1:15" ht="18.600000000000001" thickBot="1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G174"/>
  <sheetViews>
    <sheetView zoomScale="130" zoomScaleNormal="130" workbookViewId="0">
      <pane ySplit="1" topLeftCell="A173" activePane="bottomLeft" state="frozen"/>
      <selection pane="bottomLeft" activeCell="A68" sqref="A68"/>
    </sheetView>
  </sheetViews>
  <sheetFormatPr defaultRowHeight="18"/>
  <cols>
    <col min="2" max="2" width="25.83203125" customWidth="1"/>
    <col min="3" max="3" width="17.4140625" customWidth="1"/>
  </cols>
  <sheetData>
    <row r="1" spans="1:7" s="2" customFormat="1" ht="32.700000000000003" customHeight="1" thickBot="1">
      <c r="A1" s="36">
        <v>43</v>
      </c>
      <c r="B1" s="1" t="s">
        <v>582</v>
      </c>
    </row>
    <row r="2" spans="1:7">
      <c r="A2" s="37" t="s">
        <v>2</v>
      </c>
    </row>
    <row r="3" spans="1:7">
      <c r="B3" s="3" t="s">
        <v>336</v>
      </c>
      <c r="C3" s="3" t="s">
        <v>346</v>
      </c>
    </row>
    <row r="4" spans="1:7">
      <c r="B4" s="4" t="s">
        <v>338</v>
      </c>
      <c r="C4" s="4" t="str">
        <f>_xlfn.TEXTBEFORE(B4,",",2)</f>
        <v>110062,delhi</v>
      </c>
    </row>
    <row r="5" spans="1:7">
      <c r="B5" s="4" t="s">
        <v>339</v>
      </c>
      <c r="C5" s="4" t="str">
        <f>_xlfn.TEXTBEFORE(B5,",",2)</f>
        <v>121102,palwal</v>
      </c>
    </row>
    <row r="6" spans="1:7">
      <c r="B6" s="4" t="s">
        <v>340</v>
      </c>
      <c r="C6" s="4" t="str">
        <f>_xlfn.TEXTBEFORE(B6,",",2)</f>
        <v>140003,punjab</v>
      </c>
    </row>
    <row r="7" spans="1:7">
      <c r="B7" s="4" t="s">
        <v>341</v>
      </c>
      <c r="C7" s="4" t="str">
        <f>_xlfn.TEXTBEFORE(B7,",",2)</f>
        <v>121102,palwal</v>
      </c>
    </row>
    <row r="15" spans="1:7" ht="30.6">
      <c r="A15" s="152" t="s">
        <v>997</v>
      </c>
      <c r="B15" s="153"/>
      <c r="C15" s="153"/>
      <c r="D15" s="153"/>
      <c r="E15" s="153"/>
      <c r="F15" s="153"/>
      <c r="G15" s="153"/>
    </row>
    <row r="16" spans="1:7">
      <c r="A16" s="153"/>
      <c r="B16" s="153"/>
      <c r="C16" s="153"/>
      <c r="D16" s="153"/>
      <c r="E16" s="153"/>
      <c r="F16" s="153"/>
      <c r="G16" s="153"/>
    </row>
    <row r="17" spans="1:7">
      <c r="A17" s="154" t="s">
        <v>1004</v>
      </c>
      <c r="B17" s="153"/>
      <c r="C17" s="153"/>
      <c r="D17" s="153"/>
      <c r="E17" s="153"/>
      <c r="F17" s="153"/>
      <c r="G17" s="153"/>
    </row>
    <row r="18" spans="1:7">
      <c r="A18" s="153"/>
      <c r="B18" s="153"/>
      <c r="C18" s="153"/>
      <c r="D18" s="153"/>
      <c r="E18" s="153"/>
      <c r="F18" s="153"/>
      <c r="G18" s="153"/>
    </row>
    <row r="19" spans="1:7">
      <c r="A19" s="153" t="s">
        <v>999</v>
      </c>
      <c r="B19" s="153"/>
      <c r="C19" s="153"/>
      <c r="D19" s="153"/>
      <c r="E19" s="153"/>
      <c r="F19" s="153"/>
      <c r="G19" s="153"/>
    </row>
    <row r="20" spans="1:7">
      <c r="A20" s="153" t="s">
        <v>1000</v>
      </c>
      <c r="B20" s="153"/>
      <c r="C20" s="153"/>
      <c r="D20" s="153"/>
      <c r="E20" s="153"/>
      <c r="F20" s="153"/>
      <c r="G20" s="153"/>
    </row>
    <row r="21" spans="1:7">
      <c r="A21" s="153"/>
      <c r="B21" s="153"/>
      <c r="C21" s="153"/>
      <c r="D21" s="153"/>
      <c r="E21" s="153"/>
      <c r="F21" s="153"/>
      <c r="G21" s="153"/>
    </row>
    <row r="22" spans="1:7">
      <c r="A22" s="153"/>
      <c r="B22" s="153"/>
      <c r="C22" s="153"/>
      <c r="D22" s="153"/>
      <c r="E22" s="153"/>
      <c r="F22" s="153"/>
      <c r="G22" s="153"/>
    </row>
    <row r="23" spans="1:7">
      <c r="A23" s="153"/>
      <c r="B23" s="153"/>
      <c r="C23" s="153"/>
      <c r="D23" s="153"/>
      <c r="E23" s="153"/>
      <c r="F23" s="153"/>
      <c r="G23" s="153"/>
    </row>
    <row r="24" spans="1:7">
      <c r="A24" s="154" t="s">
        <v>998</v>
      </c>
      <c r="B24" s="153"/>
      <c r="C24" s="153"/>
      <c r="D24" s="153"/>
      <c r="E24" s="153"/>
      <c r="F24" s="153"/>
      <c r="G24" s="153"/>
    </row>
    <row r="25" spans="1:7">
      <c r="A25" s="153"/>
      <c r="B25" s="153"/>
      <c r="C25" s="153"/>
      <c r="D25" s="153"/>
      <c r="E25" s="153"/>
      <c r="F25" s="153"/>
      <c r="G25" s="153"/>
    </row>
    <row r="26" spans="1:7">
      <c r="A26" s="155" t="s">
        <v>980</v>
      </c>
      <c r="B26" s="153"/>
      <c r="C26" s="153"/>
      <c r="D26" s="153"/>
      <c r="E26" s="153"/>
      <c r="F26" s="153"/>
      <c r="G26" s="153"/>
    </row>
    <row r="27" spans="1:7">
      <c r="A27" s="153"/>
      <c r="B27" s="153"/>
      <c r="C27" s="153"/>
      <c r="D27" s="153"/>
      <c r="E27" s="153"/>
      <c r="F27" s="153"/>
      <c r="G27" s="153"/>
    </row>
    <row r="28" spans="1:7">
      <c r="A28" s="156" t="s">
        <v>981</v>
      </c>
      <c r="B28" s="153"/>
      <c r="C28" s="153"/>
      <c r="D28" s="153"/>
      <c r="E28" s="153"/>
      <c r="F28" s="153"/>
      <c r="G28" s="153"/>
    </row>
    <row r="29" spans="1:7">
      <c r="A29" s="157"/>
      <c r="B29" s="153"/>
      <c r="C29" s="153"/>
      <c r="D29" s="153"/>
      <c r="E29" s="153"/>
      <c r="F29" s="153"/>
      <c r="G29" s="153"/>
    </row>
    <row r="30" spans="1:7">
      <c r="A30" s="158" t="s">
        <v>1001</v>
      </c>
      <c r="B30" s="153"/>
      <c r="C30" s="153"/>
      <c r="D30" s="153"/>
      <c r="E30" s="153"/>
      <c r="F30" s="153"/>
      <c r="G30" s="153"/>
    </row>
    <row r="31" spans="1:7">
      <c r="A31" s="157"/>
      <c r="B31" s="153"/>
      <c r="C31" s="153"/>
      <c r="D31" s="153"/>
      <c r="E31" s="153"/>
      <c r="F31" s="153"/>
      <c r="G31" s="153"/>
    </row>
    <row r="32" spans="1:7">
      <c r="A32" s="158" t="s">
        <v>1002</v>
      </c>
      <c r="B32" s="153"/>
      <c r="C32" s="153"/>
      <c r="D32" s="153"/>
      <c r="E32" s="153"/>
      <c r="F32" s="153"/>
      <c r="G32" s="153"/>
    </row>
    <row r="33" spans="1:7">
      <c r="A33" s="157"/>
      <c r="B33" s="153"/>
      <c r="C33" s="153"/>
      <c r="D33" s="153"/>
      <c r="E33" s="153"/>
      <c r="F33" s="153"/>
      <c r="G33" s="153"/>
    </row>
    <row r="34" spans="1:7">
      <c r="A34" s="158" t="s">
        <v>1003</v>
      </c>
      <c r="B34" s="153"/>
      <c r="C34" s="153"/>
      <c r="D34" s="153"/>
      <c r="E34" s="153"/>
      <c r="F34" s="153"/>
      <c r="G34" s="153"/>
    </row>
    <row r="35" spans="1:7">
      <c r="A35" s="157"/>
      <c r="B35" s="153"/>
      <c r="C35" s="153"/>
      <c r="D35" s="153"/>
      <c r="E35" s="153"/>
      <c r="F35" s="153"/>
      <c r="G35" s="153"/>
    </row>
    <row r="36" spans="1:7">
      <c r="A36" s="157"/>
      <c r="B36" s="153"/>
      <c r="C36" s="153"/>
      <c r="D36" s="153"/>
      <c r="E36" s="153"/>
      <c r="F36" s="153"/>
      <c r="G36" s="153"/>
    </row>
    <row r="37" spans="1:7">
      <c r="A37" s="159"/>
      <c r="B37" s="153"/>
      <c r="C37" s="153"/>
      <c r="D37" s="153"/>
      <c r="E37" s="153"/>
      <c r="F37" s="153"/>
      <c r="G37" s="153"/>
    </row>
    <row r="38" spans="1:7">
      <c r="A38" s="159" t="s">
        <v>982</v>
      </c>
      <c r="B38" s="153"/>
      <c r="C38" s="153"/>
      <c r="D38" s="153"/>
      <c r="E38" s="153"/>
      <c r="F38" s="153"/>
      <c r="G38" s="153"/>
    </row>
    <row r="39" spans="1:7">
      <c r="A39" s="159"/>
      <c r="B39" s="153"/>
      <c r="C39" s="153"/>
      <c r="D39" s="153"/>
      <c r="E39" s="153"/>
      <c r="F39" s="153"/>
      <c r="G39" s="153"/>
    </row>
    <row r="40" spans="1:7">
      <c r="A40" s="159" t="s">
        <v>983</v>
      </c>
      <c r="B40" s="153"/>
      <c r="C40" s="153"/>
      <c r="D40" s="153"/>
      <c r="E40" s="153"/>
      <c r="F40" s="153"/>
      <c r="G40" s="153"/>
    </row>
    <row r="41" spans="1:7">
      <c r="A41" s="159"/>
      <c r="B41" s="153"/>
      <c r="C41" s="153"/>
      <c r="D41" s="153"/>
      <c r="E41" s="153"/>
      <c r="F41" s="153"/>
      <c r="G41" s="153"/>
    </row>
    <row r="42" spans="1:7">
      <c r="A42" s="159" t="s">
        <v>984</v>
      </c>
      <c r="B42" s="153"/>
      <c r="C42" s="153"/>
      <c r="D42" s="153"/>
      <c r="E42" s="153"/>
      <c r="F42" s="153"/>
      <c r="G42" s="153"/>
    </row>
    <row r="43" spans="1:7">
      <c r="A43" s="157"/>
      <c r="B43" s="153"/>
      <c r="C43" s="153"/>
      <c r="D43" s="153"/>
      <c r="E43" s="153"/>
      <c r="F43" s="153"/>
      <c r="G43" s="153"/>
    </row>
    <row r="44" spans="1:7">
      <c r="A44" s="158" t="s">
        <v>1005</v>
      </c>
    </row>
    <row r="45" spans="1:7">
      <c r="A45" s="157"/>
    </row>
    <row r="46" spans="1:7">
      <c r="A46" s="157"/>
    </row>
    <row r="47" spans="1:7">
      <c r="A47" s="159"/>
    </row>
    <row r="48" spans="1:7">
      <c r="A48" s="159" t="s">
        <v>985</v>
      </c>
    </row>
    <row r="49" spans="1:1">
      <c r="A49" s="159"/>
    </row>
    <row r="50" spans="1:1">
      <c r="A50" s="159" t="s">
        <v>986</v>
      </c>
    </row>
    <row r="51" spans="1:1">
      <c r="A51" s="157"/>
    </row>
    <row r="52" spans="1:1">
      <c r="A52" s="158" t="s">
        <v>1006</v>
      </c>
    </row>
    <row r="53" spans="1:1">
      <c r="A53" s="157"/>
    </row>
    <row r="54" spans="1:1">
      <c r="A54" s="157"/>
    </row>
    <row r="55" spans="1:1">
      <c r="A55" s="159"/>
    </row>
    <row r="56" spans="1:1">
      <c r="A56" s="159" t="s">
        <v>987</v>
      </c>
    </row>
    <row r="57" spans="1:1">
      <c r="A57" s="159"/>
    </row>
    <row r="58" spans="1:1">
      <c r="A58" s="159" t="s">
        <v>988</v>
      </c>
    </row>
    <row r="59" spans="1:1">
      <c r="A59" s="157"/>
    </row>
    <row r="60" spans="1:1">
      <c r="A60" s="158" t="s">
        <v>1007</v>
      </c>
    </row>
    <row r="61" spans="1:1">
      <c r="A61" s="157"/>
    </row>
    <row r="62" spans="1:1">
      <c r="A62" s="157"/>
    </row>
    <row r="63" spans="1:1">
      <c r="A63" s="159"/>
    </row>
    <row r="64" spans="1:1">
      <c r="A64" s="159" t="s">
        <v>1008</v>
      </c>
    </row>
    <row r="65" spans="1:1">
      <c r="A65" s="153"/>
    </row>
    <row r="66" spans="1:1">
      <c r="A66" s="153"/>
    </row>
    <row r="67" spans="1:1">
      <c r="A67" s="153"/>
    </row>
    <row r="68" spans="1:1">
      <c r="A68" s="154" t="s">
        <v>1034</v>
      </c>
    </row>
    <row r="69" spans="1:1">
      <c r="A69" s="153"/>
    </row>
    <row r="70" spans="1:1">
      <c r="A70" s="156" t="s">
        <v>989</v>
      </c>
    </row>
    <row r="71" spans="1:1">
      <c r="A71" s="153"/>
    </row>
    <row r="72" spans="1:1">
      <c r="A72" s="155" t="str">
        <f>_xlfn.TEXTBEFORE("Ashwin Panbude", " ")</f>
        <v>Ashwin</v>
      </c>
    </row>
    <row r="73" spans="1:1">
      <c r="A73" s="153"/>
    </row>
    <row r="74" spans="1:1">
      <c r="A74" s="153" t="s">
        <v>1033</v>
      </c>
    </row>
    <row r="75" spans="1:1">
      <c r="A75" s="153"/>
    </row>
    <row r="76" spans="1:1">
      <c r="A76" s="153"/>
    </row>
    <row r="77" spans="1:1">
      <c r="A77" s="153"/>
    </row>
    <row r="78" spans="1:1">
      <c r="A78" s="156" t="s">
        <v>990</v>
      </c>
    </row>
    <row r="79" spans="1:1">
      <c r="A79" s="153"/>
    </row>
    <row r="80" spans="1:1">
      <c r="A80" s="155" t="str">
        <f>_xlfn.TEXTBEFORE("ashwin123@gmail.com", "@")</f>
        <v>ashwin123</v>
      </c>
    </row>
    <row r="81" spans="1:1">
      <c r="A81" s="153"/>
    </row>
    <row r="82" spans="1:1">
      <c r="A82" s="153" t="s">
        <v>1032</v>
      </c>
    </row>
    <row r="83" spans="1:1">
      <c r="A83" s="153"/>
    </row>
    <row r="84" spans="1:1">
      <c r="A84" s="153"/>
    </row>
    <row r="85" spans="1:1">
      <c r="A85" s="153"/>
    </row>
    <row r="86" spans="1:1">
      <c r="A86" s="156" t="s">
        <v>991</v>
      </c>
    </row>
    <row r="87" spans="1:1">
      <c r="A87" s="153"/>
    </row>
    <row r="88" spans="1:1">
      <c r="A88" s="155" t="str">
        <f>_xlfn.TEXTBEFORE("Excel is Powerful", " ")</f>
        <v>Excel</v>
      </c>
    </row>
    <row r="89" spans="1:1">
      <c r="A89" s="153"/>
    </row>
    <row r="90" spans="1:1">
      <c r="A90" s="153" t="s">
        <v>1031</v>
      </c>
    </row>
    <row r="91" spans="1:1">
      <c r="A91" s="153"/>
    </row>
    <row r="92" spans="1:1">
      <c r="A92" s="153"/>
    </row>
    <row r="93" spans="1:1">
      <c r="A93" s="153"/>
    </row>
    <row r="94" spans="1:1">
      <c r="A94" s="156" t="s">
        <v>992</v>
      </c>
    </row>
    <row r="95" spans="1:1">
      <c r="A95" s="153"/>
    </row>
    <row r="96" spans="1:1">
      <c r="A96" s="155" t="str">
        <f>_xlfn.TEXTBEFORE("Red,Blue,Green,Yellow", ",", 2)</f>
        <v>Red,Blue</v>
      </c>
    </row>
    <row r="97" spans="1:1">
      <c r="A97" s="153"/>
    </row>
    <row r="98" spans="1:1">
      <c r="A98" s="153" t="s">
        <v>1030</v>
      </c>
    </row>
    <row r="99" spans="1:1">
      <c r="A99" s="153"/>
    </row>
    <row r="100" spans="1:1">
      <c r="A100" s="153"/>
    </row>
    <row r="101" spans="1:1">
      <c r="A101" s="153"/>
    </row>
    <row r="102" spans="1:1">
      <c r="A102" s="156" t="s">
        <v>993</v>
      </c>
    </row>
    <row r="103" spans="1:1">
      <c r="A103" s="153"/>
    </row>
    <row r="104" spans="1:1">
      <c r="A104" s="155" t="str">
        <f>_xlfn.TEXTBEFORE("Red,Blue,Green,Yellow", ",", -1)</f>
        <v>Red,Blue,Green</v>
      </c>
    </row>
    <row r="105" spans="1:1">
      <c r="A105" s="153"/>
    </row>
    <row r="106" spans="1:1">
      <c r="A106" s="153" t="s">
        <v>1029</v>
      </c>
    </row>
    <row r="107" spans="1:1">
      <c r="A107" s="153"/>
    </row>
    <row r="108" spans="1:1">
      <c r="A108" s="153"/>
    </row>
    <row r="109" spans="1:1">
      <c r="A109" s="153"/>
    </row>
    <row r="110" spans="1:1">
      <c r="A110" s="156" t="s">
        <v>994</v>
      </c>
    </row>
    <row r="111" spans="1:1">
      <c r="A111" s="153"/>
    </row>
    <row r="112" spans="1:1">
      <c r="A112" s="155" t="str">
        <f>_xlfn.TEXTBEFORE("Excel-EXCEL-Excel", "excel", 1, 1)</f>
        <v/>
      </c>
    </row>
    <row r="113" spans="1:1">
      <c r="A113" s="153"/>
    </row>
    <row r="114" spans="1:1">
      <c r="A114" s="153" t="s">
        <v>1028</v>
      </c>
    </row>
    <row r="115" spans="1:1">
      <c r="A115" s="153"/>
    </row>
    <row r="116" spans="1:1">
      <c r="A116" s="153"/>
    </row>
    <row r="117" spans="1:1">
      <c r="A117" s="153"/>
    </row>
    <row r="118" spans="1:1">
      <c r="A118" s="156" t="s">
        <v>995</v>
      </c>
    </row>
    <row r="119" spans="1:1">
      <c r="A119" s="153"/>
    </row>
    <row r="120" spans="1:1">
      <c r="A120" s="155" t="str">
        <f>_xlfn.TEXTBEFORE("Excel Functions", "-", 1, 0, 0, "Not Found")</f>
        <v>Not Found</v>
      </c>
    </row>
    <row r="121" spans="1:1">
      <c r="A121" s="153"/>
    </row>
    <row r="122" spans="1:1">
      <c r="A122" s="153" t="s">
        <v>1027</v>
      </c>
    </row>
    <row r="123" spans="1:1">
      <c r="A123" s="153"/>
    </row>
    <row r="124" spans="1:1">
      <c r="A124" s="153"/>
    </row>
    <row r="125" spans="1:1">
      <c r="A125" s="153"/>
    </row>
    <row r="126" spans="1:1">
      <c r="A126" s="154" t="s">
        <v>1026</v>
      </c>
    </row>
    <row r="127" spans="1:1">
      <c r="A127" s="157"/>
    </row>
    <row r="128" spans="1:1">
      <c r="A128" s="158" t="s">
        <v>1009</v>
      </c>
    </row>
    <row r="129" spans="1:1">
      <c r="A129" s="157"/>
    </row>
    <row r="130" spans="1:1">
      <c r="A130" s="158" t="s">
        <v>1010</v>
      </c>
    </row>
    <row r="131" spans="1:1">
      <c r="A131" s="157"/>
    </row>
    <row r="132" spans="1:1">
      <c r="A132" s="158" t="s">
        <v>1011</v>
      </c>
    </row>
    <row r="133" spans="1:1">
      <c r="A133" s="157"/>
    </row>
    <row r="134" spans="1:1">
      <c r="A134" s="158" t="s">
        <v>1012</v>
      </c>
    </row>
    <row r="135" spans="1:1">
      <c r="A135" s="157"/>
    </row>
    <row r="136" spans="1:1">
      <c r="A136" s="158" t="s">
        <v>1013</v>
      </c>
    </row>
    <row r="137" spans="1:1">
      <c r="A137" s="153"/>
    </row>
    <row r="138" spans="1:1">
      <c r="A138" s="153"/>
    </row>
    <row r="139" spans="1:1">
      <c r="A139" s="153"/>
    </row>
    <row r="140" spans="1:1">
      <c r="A140" s="154" t="s">
        <v>1025</v>
      </c>
    </row>
    <row r="141" spans="1:1">
      <c r="A141" s="157"/>
    </row>
    <row r="142" spans="1:1">
      <c r="A142" s="157" t="s">
        <v>1014</v>
      </c>
    </row>
    <row r="143" spans="1:1">
      <c r="A143" s="157"/>
    </row>
    <row r="144" spans="1:1">
      <c r="A144" s="157" t="s">
        <v>1015</v>
      </c>
    </row>
    <row r="145" spans="1:1">
      <c r="A145" s="157"/>
    </row>
    <row r="146" spans="1:1">
      <c r="A146" s="157" t="s">
        <v>1016</v>
      </c>
    </row>
    <row r="147" spans="1:1">
      <c r="A147" s="157"/>
    </row>
    <row r="148" spans="1:1">
      <c r="A148" s="157" t="s">
        <v>1017</v>
      </c>
    </row>
    <row r="149" spans="1:1">
      <c r="A149" s="157"/>
    </row>
    <row r="150" spans="1:1">
      <c r="A150" s="157" t="s">
        <v>1018</v>
      </c>
    </row>
    <row r="151" spans="1:1">
      <c r="A151" s="153"/>
    </row>
    <row r="152" spans="1:1">
      <c r="A152" s="153"/>
    </row>
    <row r="153" spans="1:1">
      <c r="A153" s="153"/>
    </row>
    <row r="154" spans="1:1">
      <c r="A154" s="154" t="s">
        <v>996</v>
      </c>
    </row>
    <row r="155" spans="1:1">
      <c r="A155" s="157"/>
    </row>
    <row r="156" spans="1:1">
      <c r="A156" s="157" t="s">
        <v>1019</v>
      </c>
    </row>
    <row r="157" spans="1:1">
      <c r="A157" s="157"/>
    </row>
    <row r="158" spans="1:1">
      <c r="A158" s="157" t="s">
        <v>1020</v>
      </c>
    </row>
    <row r="159" spans="1:1">
      <c r="A159" s="157"/>
    </row>
    <row r="160" spans="1:1">
      <c r="A160" s="157" t="s">
        <v>1021</v>
      </c>
    </row>
    <row r="161" spans="1:1">
      <c r="A161" s="157"/>
    </row>
    <row r="162" spans="1:1">
      <c r="A162" s="157" t="s">
        <v>1022</v>
      </c>
    </row>
    <row r="163" spans="1:1">
      <c r="A163" s="153"/>
    </row>
    <row r="164" spans="1:1">
      <c r="A164" s="153"/>
    </row>
    <row r="165" spans="1:1">
      <c r="A165" s="153"/>
    </row>
    <row r="166" spans="1:1">
      <c r="A166" s="160" t="s">
        <v>1024</v>
      </c>
    </row>
    <row r="167" spans="1:1">
      <c r="A167" s="153" t="s">
        <v>1023</v>
      </c>
    </row>
    <row r="168" spans="1:1">
      <c r="A168" s="153"/>
    </row>
    <row r="169" spans="1:1">
      <c r="A169" s="153"/>
    </row>
    <row r="170" spans="1:1">
      <c r="A170" s="153"/>
    </row>
    <row r="171" spans="1:1">
      <c r="A171" s="153"/>
    </row>
    <row r="172" spans="1:1">
      <c r="A172" s="153"/>
    </row>
    <row r="173" spans="1:1">
      <c r="A173" s="153"/>
    </row>
    <row r="174" spans="1:1">
      <c r="A174" s="153"/>
    </row>
  </sheetData>
  <hyperlinks>
    <hyperlink ref="A2" location="Home!A1" display="Home" xr:uid="{D39EFECA-BF1E-4053-BE92-7447530A163D}"/>
  </hyperlink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176"/>
  <sheetViews>
    <sheetView zoomScale="130" zoomScaleNormal="130" workbookViewId="0">
      <pane ySplit="1" topLeftCell="A2" activePane="bottomLeft" state="frozen"/>
      <selection pane="bottomLeft" activeCell="B11" sqref="B11"/>
    </sheetView>
  </sheetViews>
  <sheetFormatPr defaultRowHeight="18"/>
  <cols>
    <col min="2" max="2" width="25.83203125" customWidth="1"/>
    <col min="3" max="3" width="17.4140625" customWidth="1"/>
  </cols>
  <sheetData>
    <row r="1" spans="1:3" s="2" customFormat="1" ht="32.700000000000003" customHeight="1" thickBot="1">
      <c r="A1" s="36">
        <v>44</v>
      </c>
      <c r="B1" s="1" t="s">
        <v>583</v>
      </c>
    </row>
    <row r="2" spans="1:3">
      <c r="A2" s="37" t="s">
        <v>2</v>
      </c>
    </row>
    <row r="3" spans="1:3">
      <c r="B3" s="3" t="s">
        <v>336</v>
      </c>
      <c r="C3" s="3" t="s">
        <v>346</v>
      </c>
    </row>
    <row r="4" spans="1:3">
      <c r="B4" s="4" t="s">
        <v>338</v>
      </c>
      <c r="C4" s="4" t="str">
        <f>_xlfn.TEXTAFTER(B4,",",2)</f>
        <v>9999999999</v>
      </c>
    </row>
    <row r="5" spans="1:3">
      <c r="B5" s="4" t="s">
        <v>339</v>
      </c>
      <c r="C5" s="4" t="str">
        <f>_xlfn.TEXTAFTER(B5,",",2)</f>
        <v>4444444444</v>
      </c>
    </row>
    <row r="6" spans="1:3">
      <c r="B6" s="4" t="s">
        <v>340</v>
      </c>
      <c r="C6" s="4" t="str">
        <f>_xlfn.TEXTAFTER(B6,",",2)</f>
        <v>3333333333</v>
      </c>
    </row>
    <row r="7" spans="1:3">
      <c r="B7" s="4" t="s">
        <v>341</v>
      </c>
      <c r="C7" s="4" t="str">
        <f>_xlfn.TEXTAFTER(B7,",",2)</f>
        <v>4456555555</v>
      </c>
    </row>
    <row r="10" spans="1:3">
      <c r="A10" s="153"/>
    </row>
    <row r="11" spans="1:3">
      <c r="A11" s="153"/>
    </row>
    <row r="12" spans="1:3">
      <c r="A12" s="153"/>
    </row>
    <row r="13" spans="1:3">
      <c r="A13" s="153"/>
    </row>
    <row r="14" spans="1:3" ht="30.6">
      <c r="A14" s="152" t="s">
        <v>1065</v>
      </c>
    </row>
    <row r="15" spans="1:3">
      <c r="A15" s="153"/>
    </row>
    <row r="16" spans="1:3">
      <c r="A16" s="154" t="s">
        <v>1004</v>
      </c>
    </row>
    <row r="17" spans="1:1">
      <c r="A17" s="153"/>
    </row>
    <row r="18" spans="1:1">
      <c r="A18" s="153" t="s">
        <v>1040</v>
      </c>
    </row>
    <row r="19" spans="1:1">
      <c r="A19" s="153"/>
    </row>
    <row r="20" spans="1:1">
      <c r="A20" s="153" t="s">
        <v>1041</v>
      </c>
    </row>
    <row r="21" spans="1:1">
      <c r="A21" s="153"/>
    </row>
    <row r="22" spans="1:1">
      <c r="A22" s="153"/>
    </row>
    <row r="23" spans="1:1">
      <c r="A23" s="153"/>
    </row>
    <row r="24" spans="1:1">
      <c r="A24" s="154" t="s">
        <v>1064</v>
      </c>
    </row>
    <row r="25" spans="1:1">
      <c r="A25" s="153"/>
    </row>
    <row r="26" spans="1:1">
      <c r="A26" s="155" t="s">
        <v>1035</v>
      </c>
    </row>
    <row r="27" spans="1:1">
      <c r="A27" s="153"/>
    </row>
    <row r="28" spans="1:1">
      <c r="A28" s="156" t="s">
        <v>981</v>
      </c>
    </row>
    <row r="29" spans="1:1">
      <c r="A29" s="157"/>
    </row>
    <row r="30" spans="1:1">
      <c r="A30" s="158" t="s">
        <v>1001</v>
      </c>
    </row>
    <row r="31" spans="1:1">
      <c r="A31" s="157"/>
    </row>
    <row r="32" spans="1:1">
      <c r="A32" s="158" t="s">
        <v>1042</v>
      </c>
    </row>
    <row r="33" spans="1:1">
      <c r="A33" s="157"/>
    </row>
    <row r="34" spans="1:1">
      <c r="A34" s="158" t="s">
        <v>1003</v>
      </c>
    </row>
    <row r="35" spans="1:1">
      <c r="A35" s="157"/>
    </row>
    <row r="36" spans="1:1">
      <c r="A36" s="157"/>
    </row>
    <row r="37" spans="1:1">
      <c r="A37" s="159"/>
    </row>
    <row r="38" spans="1:1">
      <c r="A38" s="159" t="s">
        <v>982</v>
      </c>
    </row>
    <row r="39" spans="1:1">
      <c r="A39" s="159"/>
    </row>
    <row r="40" spans="1:1">
      <c r="A40" s="159" t="s">
        <v>983</v>
      </c>
    </row>
    <row r="41" spans="1:1">
      <c r="A41" s="159"/>
    </row>
    <row r="42" spans="1:1">
      <c r="A42" s="159" t="s">
        <v>984</v>
      </c>
    </row>
    <row r="43" spans="1:1">
      <c r="A43" s="157"/>
    </row>
    <row r="44" spans="1:1">
      <c r="A44" s="158" t="s">
        <v>1005</v>
      </c>
    </row>
    <row r="45" spans="1:1">
      <c r="A45" s="157"/>
    </row>
    <row r="46" spans="1:1">
      <c r="A46" s="157"/>
    </row>
    <row r="47" spans="1:1">
      <c r="A47" s="159"/>
    </row>
    <row r="48" spans="1:1">
      <c r="A48" s="159" t="s">
        <v>985</v>
      </c>
    </row>
    <row r="49" spans="1:1">
      <c r="A49" s="159"/>
    </row>
    <row r="50" spans="1:1">
      <c r="A50" s="159" t="s">
        <v>986</v>
      </c>
    </row>
    <row r="51" spans="1:1">
      <c r="A51" s="157"/>
    </row>
    <row r="52" spans="1:1">
      <c r="A52" s="158" t="s">
        <v>1006</v>
      </c>
    </row>
    <row r="53" spans="1:1">
      <c r="A53" s="157"/>
    </row>
    <row r="54" spans="1:1">
      <c r="A54" s="157"/>
    </row>
    <row r="55" spans="1:1">
      <c r="A55" s="159"/>
    </row>
    <row r="56" spans="1:1">
      <c r="A56" s="159" t="s">
        <v>987</v>
      </c>
    </row>
    <row r="57" spans="1:1">
      <c r="A57" s="159"/>
    </row>
    <row r="58" spans="1:1">
      <c r="A58" s="159" t="s">
        <v>988</v>
      </c>
    </row>
    <row r="59" spans="1:1">
      <c r="A59" s="157"/>
    </row>
    <row r="60" spans="1:1">
      <c r="A60" s="158" t="s">
        <v>1007</v>
      </c>
    </row>
    <row r="61" spans="1:1">
      <c r="A61" s="157"/>
    </row>
    <row r="62" spans="1:1">
      <c r="A62" s="157"/>
    </row>
    <row r="63" spans="1:1">
      <c r="A63" s="159"/>
    </row>
    <row r="64" spans="1:1">
      <c r="A64" s="159" t="s">
        <v>1008</v>
      </c>
    </row>
    <row r="65" spans="1:1">
      <c r="A65" s="153"/>
    </row>
    <row r="66" spans="1:1">
      <c r="A66" s="153"/>
    </row>
    <row r="67" spans="1:1">
      <c r="A67" s="153"/>
    </row>
    <row r="68" spans="1:1">
      <c r="A68" s="154" t="s">
        <v>1034</v>
      </c>
    </row>
    <row r="69" spans="1:1">
      <c r="A69" s="153"/>
    </row>
    <row r="70" spans="1:1">
      <c r="A70" s="156" t="s">
        <v>1036</v>
      </c>
    </row>
    <row r="71" spans="1:1">
      <c r="A71" s="153"/>
    </row>
    <row r="72" spans="1:1">
      <c r="A72" s="155" t="str">
        <f>_xlfn.TEXTAFTER("Ashwin Panbude", " ")</f>
        <v>Panbude</v>
      </c>
    </row>
    <row r="73" spans="1:1">
      <c r="A73" s="153"/>
    </row>
    <row r="74" spans="1:1">
      <c r="A74" s="153" t="s">
        <v>1063</v>
      </c>
    </row>
    <row r="75" spans="1:1">
      <c r="A75" s="153"/>
    </row>
    <row r="76" spans="1:1">
      <c r="A76" s="153"/>
    </row>
    <row r="77" spans="1:1">
      <c r="A77" s="153"/>
    </row>
    <row r="78" spans="1:1">
      <c r="A78" s="156" t="s">
        <v>990</v>
      </c>
    </row>
    <row r="79" spans="1:1">
      <c r="A79" s="153"/>
    </row>
    <row r="80" spans="1:1">
      <c r="A80" s="155" t="str">
        <f>_xlfn.TEXTAFTER("ashwin123@gmail.com", "@")</f>
        <v>gmail.com</v>
      </c>
    </row>
    <row r="81" spans="1:1">
      <c r="A81" s="153"/>
    </row>
    <row r="82" spans="1:1">
      <c r="A82" s="153" t="s">
        <v>1062</v>
      </c>
    </row>
    <row r="83" spans="1:1">
      <c r="A83" s="153"/>
    </row>
    <row r="84" spans="1:1">
      <c r="A84" s="153"/>
    </row>
    <row r="85" spans="1:1">
      <c r="A85" s="153"/>
    </row>
    <row r="86" spans="1:1">
      <c r="A86" s="156" t="s">
        <v>1037</v>
      </c>
    </row>
    <row r="87" spans="1:1">
      <c r="A87" s="153"/>
    </row>
    <row r="88" spans="1:1">
      <c r="A88" s="155" t="str">
        <f>_xlfn.TEXTAFTER("Red,Blue,Green,Yellow", ",")</f>
        <v>Blue,Green,Yellow</v>
      </c>
    </row>
    <row r="89" spans="1:1">
      <c r="A89" s="153"/>
    </row>
    <row r="90" spans="1:1">
      <c r="A90" s="153" t="s">
        <v>1061</v>
      </c>
    </row>
    <row r="91" spans="1:1">
      <c r="A91" s="153"/>
    </row>
    <row r="92" spans="1:1">
      <c r="A92" s="153"/>
    </row>
    <row r="93" spans="1:1">
      <c r="A93" s="153"/>
    </row>
    <row r="94" spans="1:1">
      <c r="A94" s="156" t="s">
        <v>1038</v>
      </c>
    </row>
    <row r="95" spans="1:1">
      <c r="A95" s="153"/>
    </row>
    <row r="96" spans="1:1">
      <c r="A96" s="155" t="str">
        <f>_xlfn.TEXTAFTER("Red,Blue,Green,Yellow", ",", 2)</f>
        <v>Green,Yellow</v>
      </c>
    </row>
    <row r="97" spans="1:1">
      <c r="A97" s="153"/>
    </row>
    <row r="98" spans="1:1">
      <c r="A98" s="153" t="s">
        <v>1043</v>
      </c>
    </row>
    <row r="99" spans="1:1">
      <c r="A99" s="153"/>
    </row>
    <row r="100" spans="1:1">
      <c r="A100" s="153"/>
    </row>
    <row r="101" spans="1:1">
      <c r="A101" s="153"/>
    </row>
    <row r="102" spans="1:1">
      <c r="A102" s="156" t="s">
        <v>993</v>
      </c>
    </row>
    <row r="103" spans="1:1">
      <c r="A103" s="153"/>
    </row>
    <row r="104" spans="1:1">
      <c r="A104" s="155" t="str">
        <f>_xlfn.TEXTAFTER("Red,Blue,Green,Yellow", ",", -1)</f>
        <v>Yellow</v>
      </c>
    </row>
    <row r="105" spans="1:1">
      <c r="A105" s="153"/>
    </row>
    <row r="106" spans="1:1">
      <c r="A106" s="153" t="s">
        <v>1060</v>
      </c>
    </row>
    <row r="107" spans="1:1">
      <c r="A107" s="153"/>
    </row>
    <row r="108" spans="1:1">
      <c r="A108" s="153"/>
    </row>
    <row r="109" spans="1:1">
      <c r="A109" s="153"/>
    </row>
    <row r="110" spans="1:1">
      <c r="A110" s="156" t="s">
        <v>994</v>
      </c>
    </row>
    <row r="111" spans="1:1">
      <c r="A111" s="153"/>
    </row>
    <row r="112" spans="1:1">
      <c r="A112" s="155" t="str">
        <f>_xlfn.TEXTAFTER("Excel-EXCEL-Excel", "excel", 2, 1)</f>
        <v>-Excel</v>
      </c>
    </row>
    <row r="113" spans="1:1">
      <c r="A113" s="153"/>
    </row>
    <row r="114" spans="1:1">
      <c r="A114" s="153" t="s">
        <v>1031</v>
      </c>
    </row>
    <row r="115" spans="1:1">
      <c r="A115" s="153" t="s">
        <v>1039</v>
      </c>
    </row>
    <row r="116" spans="1:1">
      <c r="A116" s="153"/>
    </row>
    <row r="117" spans="1:1">
      <c r="A117" s="153"/>
    </row>
    <row r="118" spans="1:1">
      <c r="A118" s="153"/>
    </row>
    <row r="119" spans="1:1">
      <c r="A119" s="156" t="s">
        <v>995</v>
      </c>
    </row>
    <row r="120" spans="1:1">
      <c r="A120" s="153"/>
    </row>
    <row r="121" spans="1:1">
      <c r="A121" s="155" t="str">
        <f>_xlfn.TEXTAFTER("Excel Functions", "-", 1, 0, 0, "Not Found")</f>
        <v>Not Found</v>
      </c>
    </row>
    <row r="122" spans="1:1">
      <c r="A122" s="153"/>
    </row>
    <row r="123" spans="1:1">
      <c r="A123" s="153" t="s">
        <v>1027</v>
      </c>
    </row>
    <row r="124" spans="1:1">
      <c r="A124" s="153"/>
    </row>
    <row r="125" spans="1:1">
      <c r="A125" s="153"/>
    </row>
    <row r="126" spans="1:1">
      <c r="A126" s="153"/>
    </row>
    <row r="127" spans="1:1">
      <c r="A127" s="154" t="s">
        <v>1059</v>
      </c>
    </row>
    <row r="128" spans="1:1">
      <c r="A128" s="157"/>
    </row>
    <row r="129" spans="1:1">
      <c r="A129" s="158" t="s">
        <v>1044</v>
      </c>
    </row>
    <row r="130" spans="1:1">
      <c r="A130" s="157"/>
    </row>
    <row r="131" spans="1:1">
      <c r="A131" s="158" t="s">
        <v>1045</v>
      </c>
    </row>
    <row r="132" spans="1:1">
      <c r="A132" s="157"/>
    </row>
    <row r="133" spans="1:1">
      <c r="A133" s="158" t="s">
        <v>1046</v>
      </c>
    </row>
    <row r="134" spans="1:1">
      <c r="A134" s="157"/>
    </row>
    <row r="135" spans="1:1">
      <c r="A135" s="158" t="s">
        <v>1047</v>
      </c>
    </row>
    <row r="136" spans="1:1">
      <c r="A136" s="157"/>
    </row>
    <row r="137" spans="1:1">
      <c r="A137" s="158" t="s">
        <v>1048</v>
      </c>
    </row>
    <row r="138" spans="1:1">
      <c r="A138" s="157"/>
    </row>
    <row r="139" spans="1:1">
      <c r="A139" s="158" t="s">
        <v>1049</v>
      </c>
    </row>
    <row r="140" spans="1:1">
      <c r="A140" s="153"/>
    </row>
    <row r="141" spans="1:1">
      <c r="A141" s="153"/>
    </row>
    <row r="142" spans="1:1">
      <c r="A142" s="153"/>
    </row>
    <row r="143" spans="1:1">
      <c r="A143" s="154" t="s">
        <v>1025</v>
      </c>
    </row>
    <row r="144" spans="1:1">
      <c r="A144" s="157"/>
    </row>
    <row r="145" spans="1:1">
      <c r="A145" s="157" t="s">
        <v>1050</v>
      </c>
    </row>
    <row r="146" spans="1:1">
      <c r="A146" s="157"/>
    </row>
    <row r="147" spans="1:1">
      <c r="A147" s="157" t="s">
        <v>1051</v>
      </c>
    </row>
    <row r="148" spans="1:1">
      <c r="A148" s="157"/>
    </row>
    <row r="149" spans="1:1">
      <c r="A149" s="157" t="s">
        <v>1052</v>
      </c>
    </row>
    <row r="150" spans="1:1">
      <c r="A150" s="157"/>
    </row>
    <row r="151" spans="1:1">
      <c r="A151" s="157" t="s">
        <v>1017</v>
      </c>
    </row>
    <row r="152" spans="1:1">
      <c r="A152" s="157"/>
    </row>
    <row r="153" spans="1:1">
      <c r="A153" s="157" t="s">
        <v>1053</v>
      </c>
    </row>
    <row r="154" spans="1:1">
      <c r="A154" s="153"/>
    </row>
    <row r="155" spans="1:1">
      <c r="A155" s="153"/>
    </row>
    <row r="156" spans="1:1">
      <c r="A156" s="153"/>
    </row>
    <row r="157" spans="1:1">
      <c r="A157" s="154" t="s">
        <v>996</v>
      </c>
    </row>
    <row r="158" spans="1:1">
      <c r="A158" s="157"/>
    </row>
    <row r="159" spans="1:1">
      <c r="A159" s="157" t="s">
        <v>1054</v>
      </c>
    </row>
    <row r="160" spans="1:1">
      <c r="A160" s="157"/>
    </row>
    <row r="161" spans="1:1">
      <c r="A161" s="157" t="s">
        <v>1055</v>
      </c>
    </row>
    <row r="162" spans="1:1">
      <c r="A162" s="157"/>
    </row>
    <row r="163" spans="1:1">
      <c r="A163" s="157" t="s">
        <v>1056</v>
      </c>
    </row>
    <row r="164" spans="1:1">
      <c r="A164" s="157"/>
    </row>
    <row r="165" spans="1:1">
      <c r="A165" s="157" t="s">
        <v>1057</v>
      </c>
    </row>
    <row r="166" spans="1:1">
      <c r="A166" s="153"/>
    </row>
    <row r="167" spans="1:1">
      <c r="A167" s="153"/>
    </row>
    <row r="168" spans="1:1">
      <c r="A168" s="153"/>
    </row>
    <row r="169" spans="1:1">
      <c r="A169" s="160" t="s">
        <v>1024</v>
      </c>
    </row>
    <row r="170" spans="1:1">
      <c r="A170" s="153" t="s">
        <v>1058</v>
      </c>
    </row>
    <row r="171" spans="1:1">
      <c r="A171" s="153"/>
    </row>
    <row r="172" spans="1:1">
      <c r="A172" s="153"/>
    </row>
    <row r="173" spans="1:1">
      <c r="A173" s="153"/>
    </row>
    <row r="174" spans="1:1">
      <c r="A174" s="153"/>
    </row>
    <row r="175" spans="1:1">
      <c r="A175" s="153"/>
    </row>
    <row r="176" spans="1:1">
      <c r="A176" s="153"/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 activeCell="B4" sqref="B4"/>
    </sheetView>
  </sheetViews>
  <sheetFormatPr defaultRowHeight="18"/>
  <cols>
    <col min="2" max="2" width="19.33203125" customWidth="1"/>
    <col min="4" max="4" width="16.83203125" bestFit="1" customWidth="1"/>
  </cols>
  <sheetData>
    <row r="1" spans="1:2" s="2" customFormat="1" ht="32.700000000000003" customHeight="1" thickBot="1">
      <c r="A1" s="36">
        <v>45</v>
      </c>
      <c r="B1" s="1" t="s">
        <v>584</v>
      </c>
    </row>
    <row r="2" spans="1:2">
      <c r="A2" s="37" t="s">
        <v>2</v>
      </c>
    </row>
    <row r="3" spans="1:2">
      <c r="B3" s="3" t="s">
        <v>320</v>
      </c>
    </row>
    <row r="4" spans="1:2">
      <c r="B4" s="4" t="s">
        <v>585</v>
      </c>
    </row>
    <row r="5" spans="1:2">
      <c r="B5" s="4" t="s">
        <v>586</v>
      </c>
    </row>
    <row r="6" spans="1:2">
      <c r="B6" s="4" t="s">
        <v>587</v>
      </c>
    </row>
    <row r="7" spans="1:2">
      <c r="B7" s="20" t="s">
        <v>588</v>
      </c>
    </row>
    <row r="8" spans="1:2">
      <c r="B8" s="39" t="s">
        <v>589</v>
      </c>
    </row>
    <row r="9" spans="1:2">
      <c r="B9" s="5" t="s">
        <v>590</v>
      </c>
    </row>
    <row r="10" spans="1:2">
      <c r="B10" s="4" t="s">
        <v>591</v>
      </c>
    </row>
    <row r="11" spans="1:2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" customWidth="1"/>
    <col min="3" max="5" width="7.83203125" customWidth="1"/>
    <col min="6" max="6" width="5.9140625" bestFit="1" customWidth="1"/>
  </cols>
  <sheetData>
    <row r="1" spans="1:7" s="2" customFormat="1" ht="32.700000000000003" customHeight="1" thickBot="1">
      <c r="A1" s="36">
        <v>46</v>
      </c>
      <c r="B1" s="1" t="s">
        <v>592</v>
      </c>
    </row>
    <row r="2" spans="1:7">
      <c r="A2" s="37" t="s">
        <v>2</v>
      </c>
    </row>
    <row r="3" spans="1:7">
      <c r="B3" s="3" t="s">
        <v>593</v>
      </c>
      <c r="C3" s="42" t="s">
        <v>85</v>
      </c>
      <c r="D3" s="42" t="s">
        <v>86</v>
      </c>
      <c r="E3" s="42" t="s">
        <v>87</v>
      </c>
    </row>
    <row r="4" spans="1:7">
      <c r="B4" s="21" t="s">
        <v>90</v>
      </c>
      <c r="C4" s="39">
        <v>15800</v>
      </c>
      <c r="D4" s="39">
        <v>42000</v>
      </c>
      <c r="E4" s="39">
        <v>26700</v>
      </c>
    </row>
    <row r="5" spans="1:7">
      <c r="B5" s="21" t="s">
        <v>92</v>
      </c>
      <c r="C5" s="39">
        <v>19300</v>
      </c>
      <c r="D5" s="39">
        <v>9800</v>
      </c>
      <c r="E5" s="39">
        <v>7400</v>
      </c>
    </row>
    <row r="6" spans="1:7">
      <c r="B6" s="21" t="s">
        <v>94</v>
      </c>
      <c r="C6" s="39">
        <v>8700</v>
      </c>
      <c r="D6" s="39">
        <v>10200</v>
      </c>
      <c r="E6" s="39">
        <v>28300</v>
      </c>
    </row>
    <row r="7" spans="1:7">
      <c r="B7" s="21" t="s">
        <v>90</v>
      </c>
      <c r="C7" s="39">
        <v>31400</v>
      </c>
      <c r="D7" s="39">
        <v>24800</v>
      </c>
      <c r="E7" s="39">
        <v>21500</v>
      </c>
    </row>
    <row r="8" spans="1:7">
      <c r="B8" s="21" t="s">
        <v>92</v>
      </c>
      <c r="C8" s="39">
        <v>22600</v>
      </c>
      <c r="D8" s="39">
        <v>7700</v>
      </c>
      <c r="E8" s="39">
        <v>9900</v>
      </c>
    </row>
    <row r="10" spans="1:7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>
      <c r="A1" s="36">
        <v>47</v>
      </c>
      <c r="B1" s="1" t="s">
        <v>594</v>
      </c>
    </row>
    <row r="2" spans="1:6">
      <c r="A2" s="37" t="s">
        <v>2</v>
      </c>
    </row>
    <row r="3" spans="1:6">
      <c r="B3" s="3" t="s">
        <v>336</v>
      </c>
      <c r="C3" s="3"/>
      <c r="D3" s="3"/>
      <c r="E3" s="3"/>
    </row>
    <row r="4" spans="1:6">
      <c r="B4" s="4">
        <v>110062</v>
      </c>
      <c r="C4" s="4" t="s">
        <v>466</v>
      </c>
      <c r="D4" s="4">
        <v>9999999999</v>
      </c>
      <c r="E4" s="4"/>
    </row>
    <row r="5" spans="1:6">
      <c r="B5" s="4">
        <v>121102</v>
      </c>
      <c r="C5" s="4" t="s">
        <v>595</v>
      </c>
      <c r="D5" s="4">
        <v>4444444444</v>
      </c>
      <c r="E5" s="4"/>
    </row>
    <row r="7" spans="1:6">
      <c r="B7" s="3" t="s">
        <v>336</v>
      </c>
      <c r="C7" s="3" t="s">
        <v>337</v>
      </c>
      <c r="D7" s="3" t="s">
        <v>381</v>
      </c>
      <c r="E7" s="3" t="s">
        <v>346</v>
      </c>
    </row>
    <row r="8" spans="1:6">
      <c r="B8" s="4" t="s">
        <v>338</v>
      </c>
      <c r="C8" s="4" t="str">
        <f t="array" ref="C8">_xlfn.TEXTSPLIT(B8,",")</f>
        <v>110062</v>
      </c>
      <c r="D8" s="4"/>
      <c r="E8" s="4"/>
    </row>
    <row r="9" spans="1:6">
      <c r="B9" s="4" t="s">
        <v>339</v>
      </c>
      <c r="C9" s="4" t="str">
        <f t="array" ref="C9">_xlfn.TEXTSPLIT(B9,",")</f>
        <v>121102</v>
      </c>
      <c r="D9" s="4"/>
      <c r="E9" s="4"/>
    </row>
    <row r="11" spans="1:6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>
      <c r="B12" s="4" t="s">
        <v>597</v>
      </c>
      <c r="C12" s="4" t="str">
        <f t="array" ref="C12">_xlfn.TEXTSPLIT(B12,"/")</f>
        <v>Raj kumar</v>
      </c>
      <c r="D12" s="4"/>
      <c r="E12" s="4"/>
      <c r="F12" s="4"/>
    </row>
    <row r="13" spans="1:6">
      <c r="B13" s="4" t="s">
        <v>598</v>
      </c>
      <c r="C13" s="4" t="str">
        <f t="array" ref="C13">_xlfn.TEXTSPLIT(B13,"/")</f>
        <v>Sonu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3" width="15.9140625" customWidth="1"/>
    <col min="4" max="5" width="16" customWidth="1"/>
    <col min="6" max="6" width="9.58203125" customWidth="1"/>
  </cols>
  <sheetData>
    <row r="1" spans="1:5" s="2" customFormat="1" ht="32.700000000000003" customHeight="1" thickBot="1">
      <c r="A1" s="36">
        <v>48</v>
      </c>
      <c r="B1" s="1" t="s">
        <v>599</v>
      </c>
    </row>
    <row r="2" spans="1:5">
      <c r="A2" s="37" t="s">
        <v>2</v>
      </c>
    </row>
    <row r="3" spans="1:5">
      <c r="B3" t="s">
        <v>600</v>
      </c>
      <c r="C3" t="s">
        <v>601</v>
      </c>
    </row>
    <row r="4" spans="1:5">
      <c r="B4" s="29">
        <f ca="1">NOW()</f>
        <v>45894.914295023147</v>
      </c>
      <c r="C4" s="30">
        <f ca="1">TODAY()</f>
        <v>45894</v>
      </c>
    </row>
    <row r="9" spans="1:5">
      <c r="B9" s="3" t="s">
        <v>602</v>
      </c>
      <c r="C9" s="3" t="s">
        <v>346</v>
      </c>
      <c r="D9" s="3" t="s">
        <v>603</v>
      </c>
      <c r="E9" s="3" t="s">
        <v>604</v>
      </c>
    </row>
    <row r="10" spans="1:5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5" width="12.58203125" customWidth="1"/>
    <col min="6" max="6" width="9.58203125" customWidth="1"/>
  </cols>
  <sheetData>
    <row r="1" spans="1:5" s="2" customFormat="1" ht="32.700000000000003" customHeight="1" thickBot="1">
      <c r="A1" s="36">
        <v>49</v>
      </c>
      <c r="B1" s="1" t="s">
        <v>606</v>
      </c>
    </row>
    <row r="2" spans="1:5">
      <c r="A2" s="37" t="s">
        <v>2</v>
      </c>
    </row>
    <row r="3" spans="1:5">
      <c r="B3" s="3" t="s">
        <v>141</v>
      </c>
      <c r="C3" s="3"/>
      <c r="D3" s="3"/>
      <c r="E3" s="3"/>
    </row>
    <row r="4" spans="1:5">
      <c r="B4" s="27">
        <f>DATE(2024,1,20)</f>
        <v>45311</v>
      </c>
      <c r="C4" s="4"/>
      <c r="D4" s="4"/>
      <c r="E4" s="4"/>
    </row>
    <row r="5" spans="1:5">
      <c r="B5" s="27">
        <f>DATE(2024,1,20)</f>
        <v>45311</v>
      </c>
      <c r="C5" s="4"/>
      <c r="D5" s="4"/>
      <c r="E5" s="4"/>
    </row>
    <row r="7" spans="1:5">
      <c r="B7" s="3" t="s">
        <v>607</v>
      </c>
      <c r="C7" s="3" t="s">
        <v>608</v>
      </c>
      <c r="D7" s="3" t="s">
        <v>609</v>
      </c>
      <c r="E7" s="3" t="s">
        <v>141</v>
      </c>
    </row>
    <row r="8" spans="1: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5" width="12.58203125" customWidth="1"/>
    <col min="6" max="6" width="9.58203125" customWidth="1"/>
  </cols>
  <sheetData>
    <row r="1" spans="1:5" s="2" customFormat="1" ht="32.700000000000003" customHeight="1" thickBot="1">
      <c r="A1" s="36">
        <v>50</v>
      </c>
      <c r="B1" s="1" t="s">
        <v>610</v>
      </c>
    </row>
    <row r="2" spans="1:5">
      <c r="A2" s="37" t="s">
        <v>2</v>
      </c>
    </row>
    <row r="3" spans="1:5">
      <c r="B3" s="3" t="s">
        <v>141</v>
      </c>
      <c r="C3" s="3" t="s">
        <v>607</v>
      </c>
      <c r="D3" s="3" t="s">
        <v>608</v>
      </c>
      <c r="E3" s="3" t="s">
        <v>609</v>
      </c>
    </row>
    <row r="4" spans="1: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>
      <c r="A1" s="36">
        <v>51</v>
      </c>
      <c r="B1" s="1" t="s">
        <v>611</v>
      </c>
    </row>
    <row r="2" spans="1:4">
      <c r="A2" s="37" t="s">
        <v>2</v>
      </c>
    </row>
    <row r="3" spans="1:4">
      <c r="B3" s="3" t="s">
        <v>612</v>
      </c>
      <c r="C3" s="3" t="s">
        <v>613</v>
      </c>
      <c r="D3" s="3" t="s">
        <v>614</v>
      </c>
    </row>
    <row r="4" spans="1:4">
      <c r="B4" s="27">
        <v>45323</v>
      </c>
      <c r="C4" s="27">
        <v>45334</v>
      </c>
      <c r="D4" s="4">
        <f>_xlfn.DAYS(C4,B4)</f>
        <v>11</v>
      </c>
    </row>
    <row r="5" spans="1:4">
      <c r="B5" s="27">
        <v>45354</v>
      </c>
      <c r="C5" s="27">
        <v>45371</v>
      </c>
      <c r="D5" s="4">
        <f>_xlfn.DAYS(C5,B5)</f>
        <v>17</v>
      </c>
    </row>
    <row r="6" spans="1:4">
      <c r="B6" s="27">
        <v>45385</v>
      </c>
      <c r="C6" s="27">
        <v>45448</v>
      </c>
      <c r="D6" s="4">
        <f>_xlfn.DAYS(C6,B6)</f>
        <v>63</v>
      </c>
    </row>
    <row r="7" spans="1:4">
      <c r="B7" s="27">
        <v>45416</v>
      </c>
      <c r="C7" s="27">
        <v>45466</v>
      </c>
      <c r="D7" s="4">
        <f>_xlfn.DAYS(C7,B7)</f>
        <v>50</v>
      </c>
    </row>
    <row r="8" spans="1:4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6.58203125" customWidth="1"/>
    <col min="3" max="3" width="35.83203125" customWidth="1"/>
    <col min="4" max="4" width="9.58203125" customWidth="1"/>
  </cols>
  <sheetData>
    <row r="1" spans="1:3" s="2" customFormat="1" ht="32.700000000000003" customHeight="1" thickBot="1">
      <c r="A1" s="36">
        <v>52</v>
      </c>
      <c r="B1" s="1" t="s">
        <v>615</v>
      </c>
    </row>
    <row r="2" spans="1:3">
      <c r="A2" s="37" t="s">
        <v>2</v>
      </c>
    </row>
    <row r="3" spans="1:3">
      <c r="B3" s="3" t="s">
        <v>616</v>
      </c>
      <c r="C3" s="3" t="s">
        <v>617</v>
      </c>
    </row>
    <row r="4" spans="1:3">
      <c r="B4" s="27">
        <v>45323</v>
      </c>
      <c r="C4" s="27">
        <f>EDATE(B4,-3)</f>
        <v>45231</v>
      </c>
    </row>
    <row r="5" spans="1:3">
      <c r="B5" s="27">
        <v>45354</v>
      </c>
      <c r="C5" s="27">
        <f>EDATE(B5,3)</f>
        <v>45446</v>
      </c>
    </row>
    <row r="6" spans="1:3">
      <c r="B6" s="27">
        <v>45385</v>
      </c>
      <c r="C6" s="27">
        <f>EDATE(B6,3)</f>
        <v>45476</v>
      </c>
    </row>
    <row r="7" spans="1:3">
      <c r="B7" s="27">
        <v>45416</v>
      </c>
      <c r="C7" s="27">
        <f>EDATE(B7,3)</f>
        <v>45508</v>
      </c>
    </row>
    <row r="8" spans="1:3">
      <c r="B8" s="27">
        <v>45447</v>
      </c>
      <c r="C8" s="27">
        <f>EDATE(B8,3)</f>
        <v>45539</v>
      </c>
    </row>
    <row r="10" spans="1:3">
      <c r="B10" t="s">
        <v>618</v>
      </c>
    </row>
    <row r="11" spans="1: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 activeCell="D12" sqref="D12"/>
    </sheetView>
  </sheetViews>
  <sheetFormatPr defaultRowHeight="18"/>
  <cols>
    <col min="2" max="2" width="16.58203125" customWidth="1"/>
    <col min="3" max="3" width="18.1640625" customWidth="1"/>
    <col min="4" max="4" width="9.58203125" customWidth="1"/>
  </cols>
  <sheetData>
    <row r="1" spans="1:3" s="2" customFormat="1" ht="32.700000000000003" customHeight="1" thickBot="1">
      <c r="A1" s="36">
        <v>53</v>
      </c>
      <c r="B1" s="1" t="s">
        <v>620</v>
      </c>
    </row>
    <row r="2" spans="1:3">
      <c r="A2" s="37" t="s">
        <v>2</v>
      </c>
    </row>
    <row r="3" spans="1:3">
      <c r="B3" s="3" t="s">
        <v>616</v>
      </c>
      <c r="C3" s="3" t="s">
        <v>621</v>
      </c>
    </row>
    <row r="4" spans="1:3">
      <c r="B4" s="27">
        <v>45323</v>
      </c>
      <c r="C4" s="27">
        <f>EOMONTH(B4,-1)</f>
        <v>45322</v>
      </c>
    </row>
    <row r="5" spans="1:3">
      <c r="B5" s="27">
        <v>45354</v>
      </c>
      <c r="C5" s="27">
        <f>EOMONTH(B5,-1)</f>
        <v>45351</v>
      </c>
    </row>
    <row r="6" spans="1:3">
      <c r="B6" s="27">
        <v>45385</v>
      </c>
      <c r="C6" s="27">
        <f>EOMONTH(B6,-1)</f>
        <v>45382</v>
      </c>
    </row>
    <row r="7" spans="1:3">
      <c r="B7" s="27">
        <v>45416</v>
      </c>
      <c r="C7" s="27">
        <f>EOMONTH(B7,-1)</f>
        <v>45412</v>
      </c>
    </row>
    <row r="8" spans="1: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tabSelected="1" zoomScale="130" zoomScaleNormal="130" workbookViewId="0">
      <pane ySplit="1" topLeftCell="A2" activePane="bottomLeft" state="frozen"/>
      <selection pane="bottomLeft" activeCell="G13" sqref="G13"/>
    </sheetView>
  </sheetViews>
  <sheetFormatPr defaultRowHeight="18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>
      <c r="A1" s="36">
        <v>54</v>
      </c>
      <c r="B1" s="1" t="s">
        <v>622</v>
      </c>
    </row>
    <row r="2" spans="1:6">
      <c r="A2" s="37" t="s">
        <v>2</v>
      </c>
    </row>
    <row r="3" spans="1:6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>
      <c r="B4" s="27">
        <v>36557</v>
      </c>
      <c r="C4" s="27">
        <f ca="1">TODAY()</f>
        <v>45894</v>
      </c>
      <c r="D4" s="4">
        <f ca="1">DATEDIF(B4,C4,"y")</f>
        <v>25</v>
      </c>
      <c r="E4" s="4">
        <f ca="1">DATEDIF(B4,C4,"m")</f>
        <v>306</v>
      </c>
      <c r="F4" s="4">
        <f ca="1">DATEDIF(B4,C4,"d")</f>
        <v>9337</v>
      </c>
    </row>
    <row r="5" spans="1:6">
      <c r="B5" s="27">
        <v>43893</v>
      </c>
      <c r="C5" s="27">
        <f ca="1">TODAY()</f>
        <v>45894</v>
      </c>
      <c r="D5" s="4">
        <f ca="1">DATEDIF(B5,C5,"y")</f>
        <v>5</v>
      </c>
      <c r="E5" s="4">
        <f ca="1">DATEDIF(B5,C5,"m")</f>
        <v>65</v>
      </c>
      <c r="F5" s="4">
        <f ca="1">DATEDIF(B5,C5,"d")</f>
        <v>2001</v>
      </c>
    </row>
    <row r="6" spans="1:6">
      <c r="B6" s="27">
        <v>37349</v>
      </c>
      <c r="C6" s="27">
        <f ca="1">TODAY()</f>
        <v>45894</v>
      </c>
      <c r="D6" s="4">
        <f ca="1">DATEDIF(B6,C6,"y")</f>
        <v>23</v>
      </c>
      <c r="E6" s="4">
        <f ca="1">DATEDIF(B6,C6,"m")</f>
        <v>280</v>
      </c>
      <c r="F6" s="4">
        <f ca="1">DATEDIF(B6,C6,"d")</f>
        <v>8545</v>
      </c>
    </row>
    <row r="7" spans="1:6">
      <c r="B7" s="27">
        <v>39210</v>
      </c>
      <c r="C7" s="27">
        <f ca="1">TODAY()</f>
        <v>45894</v>
      </c>
      <c r="D7" s="4">
        <f ca="1">DATEDIF(B7,C7,"y")</f>
        <v>18</v>
      </c>
      <c r="E7" s="4">
        <f ca="1">DATEDIF(B7,C7,"m")</f>
        <v>219</v>
      </c>
      <c r="F7" s="4">
        <f ca="1">DATEDIF(B7,C7,"d")</f>
        <v>6684</v>
      </c>
    </row>
    <row r="8" spans="1:6">
      <c r="B8" s="27">
        <v>38142</v>
      </c>
      <c r="C8" s="27">
        <f ca="1">TODAY()</f>
        <v>45894</v>
      </c>
      <c r="D8" s="4">
        <f ca="1">DATEDIF(B8,C8,"y")</f>
        <v>21</v>
      </c>
      <c r="E8" s="4">
        <f ca="1">DATEDIF(B8,C8,"m")</f>
        <v>254</v>
      </c>
      <c r="F8" s="4">
        <f ca="1">DATEDIF(B8,C8,"d")</f>
        <v>7752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>
      <c r="A1" s="36">
        <v>55</v>
      </c>
      <c r="B1" s="1" t="s">
        <v>628</v>
      </c>
    </row>
    <row r="2" spans="1:7">
      <c r="A2" s="37" t="s">
        <v>2</v>
      </c>
    </row>
    <row r="3" spans="1:7">
      <c r="B3" s="3" t="s">
        <v>612</v>
      </c>
      <c r="C3" s="3" t="s">
        <v>629</v>
      </c>
      <c r="D3" s="3" t="s">
        <v>613</v>
      </c>
      <c r="G3" s="42" t="s">
        <v>630</v>
      </c>
    </row>
    <row r="4" spans="1:7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>
      <c r="B7" s="27">
        <v>45416</v>
      </c>
      <c r="C7" s="4">
        <v>2</v>
      </c>
      <c r="D7" s="27">
        <f>WORKDAY(B7,C7,$G$4:$G$7)</f>
        <v>45419</v>
      </c>
      <c r="G7" s="4"/>
    </row>
    <row r="8" spans="1:7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>
      <c r="A1" s="36">
        <v>56</v>
      </c>
      <c r="B1" s="1" t="s">
        <v>631</v>
      </c>
    </row>
    <row r="2" spans="1:7">
      <c r="A2" s="37" t="s">
        <v>2</v>
      </c>
    </row>
    <row r="3" spans="1:7">
      <c r="B3" s="3" t="s">
        <v>612</v>
      </c>
      <c r="C3" s="3" t="s">
        <v>632</v>
      </c>
      <c r="D3" s="3" t="s">
        <v>613</v>
      </c>
      <c r="G3" s="42" t="s">
        <v>630</v>
      </c>
    </row>
    <row r="4" spans="1:7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>
      <c r="B7" s="27">
        <v>45416</v>
      </c>
      <c r="C7" s="4">
        <v>2</v>
      </c>
      <c r="D7" s="27">
        <f>WORKDAY.INTL(B7,C7,11,$G$4:$G$7)</f>
        <v>45419</v>
      </c>
      <c r="G7" s="4"/>
    </row>
    <row r="8" spans="1:7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>
      <c r="A1" s="36">
        <v>57</v>
      </c>
      <c r="B1" s="1" t="s">
        <v>633</v>
      </c>
    </row>
    <row r="2" spans="1:7">
      <c r="A2" s="37" t="s">
        <v>2</v>
      </c>
    </row>
    <row r="3" spans="1:7">
      <c r="B3" s="3" t="s">
        <v>612</v>
      </c>
      <c r="C3" s="3" t="s">
        <v>634</v>
      </c>
      <c r="D3" s="3" t="s">
        <v>635</v>
      </c>
      <c r="G3" s="3" t="s">
        <v>630</v>
      </c>
    </row>
    <row r="4" spans="1:7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>
      <c r="B7" s="27">
        <v>45325</v>
      </c>
      <c r="C7" s="27">
        <v>45337</v>
      </c>
      <c r="D7" s="4">
        <f>NETWORKDAYS(B7,C7,$G$4:$G$7)</f>
        <v>9</v>
      </c>
      <c r="G7" s="4"/>
    </row>
    <row r="8" spans="1:7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>
      <c r="A1" s="36">
        <v>58</v>
      </c>
      <c r="B1" s="1" t="s">
        <v>636</v>
      </c>
    </row>
    <row r="2" spans="1:7">
      <c r="A2" s="37" t="s">
        <v>2</v>
      </c>
    </row>
    <row r="3" spans="1:7">
      <c r="B3" s="3" t="s">
        <v>612</v>
      </c>
      <c r="C3" s="3" t="s">
        <v>634</v>
      </c>
      <c r="D3" s="3" t="s">
        <v>613</v>
      </c>
      <c r="G3" s="3" t="s">
        <v>630</v>
      </c>
    </row>
    <row r="4" spans="1:7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>
      <c r="B5" s="27">
        <v>45354</v>
      </c>
      <c r="C5" s="27">
        <v>45337</v>
      </c>
      <c r="D5" s="4"/>
      <c r="G5" s="27">
        <v>45519</v>
      </c>
    </row>
    <row r="6" spans="1:7">
      <c r="B6" s="27">
        <v>45385</v>
      </c>
      <c r="C6" s="27">
        <v>45394</v>
      </c>
      <c r="D6" s="4"/>
      <c r="G6" s="27">
        <v>45932</v>
      </c>
    </row>
    <row r="7" spans="1:7">
      <c r="B7" s="27">
        <v>45354</v>
      </c>
      <c r="C7" s="27">
        <v>45337</v>
      </c>
      <c r="D7" s="4"/>
      <c r="G7" s="4"/>
    </row>
    <row r="8" spans="1:7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>
      <c r="A1" s="36">
        <v>59</v>
      </c>
      <c r="B1" s="1" t="s">
        <v>637</v>
      </c>
    </row>
    <row r="2" spans="1:10">
      <c r="A2" s="37" t="s">
        <v>2</v>
      </c>
    </row>
    <row r="3" spans="1:10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>
      <c r="A15" s="37" t="s">
        <v>2</v>
      </c>
    </row>
    <row r="16" spans="1:10">
      <c r="B16" s="3" t="s">
        <v>638</v>
      </c>
      <c r="C16" s="3" t="s">
        <v>649</v>
      </c>
      <c r="D16" s="144" t="s">
        <v>650</v>
      </c>
      <c r="E16" s="144"/>
      <c r="F16" s="144"/>
    </row>
    <row r="17" spans="2:6">
      <c r="B17" s="27" t="s">
        <v>651</v>
      </c>
      <c r="C17" s="4" t="s">
        <v>652</v>
      </c>
      <c r="D17" s="143" t="str">
        <f>IF(C17="male","Mr. "&amp;B17,"Mis "&amp;B17)</f>
        <v>Mr. Raj Kumar</v>
      </c>
      <c r="E17" s="143"/>
      <c r="F17" s="143"/>
    </row>
    <row r="18" spans="2:6">
      <c r="B18" s="27" t="s">
        <v>500</v>
      </c>
      <c r="C18" s="4" t="s">
        <v>653</v>
      </c>
      <c r="D18" s="143" t="str">
        <f>IF(C18="male","Mr. "&amp;B18,"Mis "&amp;B18)</f>
        <v>Mis Tejal</v>
      </c>
      <c r="E18" s="143"/>
      <c r="F18" s="143"/>
    </row>
    <row r="19" spans="2:6">
      <c r="B19" s="27" t="s">
        <v>654</v>
      </c>
      <c r="C19" s="4" t="s">
        <v>652</v>
      </c>
      <c r="D19" s="143" t="str">
        <f>IF(C19="male","Mr. "&amp;B19,"Mis "&amp;B19)</f>
        <v>Mr. Anil Kumar</v>
      </c>
      <c r="E19" s="143"/>
      <c r="F19" s="143"/>
    </row>
    <row r="20" spans="2:6">
      <c r="B20" s="27" t="s">
        <v>655</v>
      </c>
      <c r="C20" s="4" t="s">
        <v>653</v>
      </c>
      <c r="D20" s="143" t="str">
        <f>IF(C20="male","Mr. "&amp;B20,"Mis "&amp;B20)</f>
        <v>Mis Reena</v>
      </c>
      <c r="E20" s="143"/>
      <c r="F20" s="143"/>
    </row>
    <row r="21" spans="2:6">
      <c r="B21" s="27" t="s">
        <v>545</v>
      </c>
      <c r="C21" s="4" t="s">
        <v>652</v>
      </c>
      <c r="D21" s="143" t="str">
        <f>IF(C21="male","Mr. "&amp;B21,"Mis "&amp;B21)</f>
        <v>Mr. Deepak</v>
      </c>
      <c r="E21" s="143"/>
      <c r="F21" s="143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>
      <c r="A1" s="36">
        <v>60</v>
      </c>
      <c r="B1" s="1" t="s">
        <v>656</v>
      </c>
    </row>
    <row r="2" spans="1:7">
      <c r="A2" s="37" t="s">
        <v>2</v>
      </c>
    </row>
    <row r="3" spans="1:7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>
      <c r="B10" s="30" t="s">
        <v>662</v>
      </c>
    </row>
    <row r="14" spans="1:7">
      <c r="A14" s="37" t="s">
        <v>2</v>
      </c>
    </row>
    <row r="16" spans="1:7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>
      <c r="A1" s="36">
        <v>61</v>
      </c>
      <c r="B1" s="1" t="s">
        <v>672</v>
      </c>
    </row>
    <row r="2" spans="1:7">
      <c r="A2" s="37" t="s">
        <v>2</v>
      </c>
    </row>
    <row r="3" spans="1:7">
      <c r="B3" s="40" t="s">
        <v>638</v>
      </c>
      <c r="C3" s="3" t="s">
        <v>673</v>
      </c>
      <c r="D3" s="3" t="s">
        <v>674</v>
      </c>
    </row>
    <row r="4" spans="1:7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>
      <c r="B10" s="30" t="s">
        <v>683</v>
      </c>
    </row>
    <row r="11" spans="1:7">
      <c r="A11" s="37" t="s">
        <v>2</v>
      </c>
    </row>
    <row r="16" spans="1:7">
      <c r="B16" s="3" t="s">
        <v>638</v>
      </c>
      <c r="C16" s="3" t="s">
        <v>684</v>
      </c>
      <c r="D16" s="3" t="s">
        <v>640</v>
      </c>
      <c r="G16" s="38"/>
    </row>
    <row r="17" spans="2:4">
      <c r="B17" s="39" t="s">
        <v>685</v>
      </c>
      <c r="C17" s="33">
        <v>0.45</v>
      </c>
      <c r="D17" s="4" t="str">
        <f>IF(OR(C17&lt;40%,C17="A"),"fail","pass")</f>
        <v>pass</v>
      </c>
    </row>
    <row r="18" spans="2:4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>
      <c r="B19" s="39" t="s">
        <v>687</v>
      </c>
      <c r="C19" s="33">
        <v>0.56000000000000005</v>
      </c>
      <c r="D19" s="4" t="str">
        <f t="shared" si="0"/>
        <v>pass</v>
      </c>
    </row>
    <row r="20" spans="2:4">
      <c r="B20" s="39" t="s">
        <v>688</v>
      </c>
      <c r="C20" s="4" t="s">
        <v>207</v>
      </c>
      <c r="D20" s="4" t="str">
        <f t="shared" si="0"/>
        <v>fail</v>
      </c>
    </row>
    <row r="21" spans="2:4">
      <c r="B21" s="39" t="s">
        <v>689</v>
      </c>
      <c r="C21" s="33">
        <v>0.77</v>
      </c>
      <c r="D21" s="4" t="str">
        <f t="shared" si="0"/>
        <v>pass</v>
      </c>
    </row>
    <row r="22" spans="2:4">
      <c r="B22" s="39" t="s">
        <v>688</v>
      </c>
      <c r="C22" s="4" t="s">
        <v>207</v>
      </c>
      <c r="D22" s="4" t="str">
        <f t="shared" si="0"/>
        <v>fail</v>
      </c>
    </row>
    <row r="23" spans="2:4">
      <c r="B23" s="39" t="s">
        <v>690</v>
      </c>
      <c r="C23" s="33">
        <v>0.98</v>
      </c>
      <c r="D23" s="4" t="str">
        <f t="shared" si="0"/>
        <v>pass</v>
      </c>
    </row>
    <row r="24" spans="2:4">
      <c r="B24" s="39" t="s">
        <v>688</v>
      </c>
      <c r="C24" s="33">
        <v>0.33</v>
      </c>
      <c r="D24" s="4" t="str">
        <f t="shared" si="0"/>
        <v>fail</v>
      </c>
    </row>
    <row r="26" spans="2:4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>
      <c r="A1" s="36">
        <v>62</v>
      </c>
      <c r="B1" s="1" t="s">
        <v>692</v>
      </c>
    </row>
    <row r="2" spans="1:8">
      <c r="A2" s="37" t="s">
        <v>2</v>
      </c>
    </row>
    <row r="3" spans="1:8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>
      <c r="H9" s="38"/>
    </row>
    <row r="10" spans="1:8">
      <c r="B10" s="30" t="s">
        <v>699</v>
      </c>
    </row>
    <row r="11" spans="1:8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>
      <c r="B12" s="30" t="s">
        <v>701</v>
      </c>
    </row>
    <row r="13" spans="1:8">
      <c r="B13" s="30" t="s">
        <v>702</v>
      </c>
    </row>
    <row r="14" spans="1:8">
      <c r="B14" s="30" t="s">
        <v>703</v>
      </c>
    </row>
    <row r="15" spans="1:8">
      <c r="A15" s="37" t="s">
        <v>2</v>
      </c>
    </row>
    <row r="16" spans="1:8">
      <c r="B16" s="40" t="s">
        <v>704</v>
      </c>
      <c r="C16" s="40" t="s">
        <v>705</v>
      </c>
      <c r="D16" s="3" t="s">
        <v>674</v>
      </c>
    </row>
    <row r="17" spans="2:4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>
      <c r="B23" s="30" t="s">
        <v>711</v>
      </c>
    </row>
    <row r="24" spans="2:4">
      <c r="B24" s="30" t="s">
        <v>712</v>
      </c>
    </row>
    <row r="25" spans="2:4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12" activePane="bottomLeft" state="frozen"/>
      <selection pane="bottomLeft"/>
    </sheetView>
  </sheetViews>
  <sheetFormatPr defaultRowHeight="18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>
      <c r="A1" s="36">
        <v>63</v>
      </c>
      <c r="B1" s="1" t="s">
        <v>714</v>
      </c>
    </row>
    <row r="2" spans="1:10">
      <c r="A2" s="37" t="s">
        <v>2</v>
      </c>
    </row>
    <row r="3" spans="1:10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>
      <c r="B10" s="30"/>
    </row>
    <row r="11" spans="1:10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>
      <c r="B13" s="35"/>
      <c r="C13" s="35"/>
      <c r="D13" s="35"/>
      <c r="E13" s="35"/>
      <c r="F13" s="35"/>
    </row>
    <row r="14" spans="1:10">
      <c r="B14" s="30"/>
    </row>
    <row r="15" spans="1:10">
      <c r="B15" s="30"/>
    </row>
    <row r="16" spans="1:10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>
      <c r="A1" s="36">
        <v>64</v>
      </c>
      <c r="B1" s="1" t="s">
        <v>733</v>
      </c>
    </row>
    <row r="2" spans="1:11">
      <c r="A2" s="37" t="s">
        <v>2</v>
      </c>
    </row>
    <row r="3" spans="1:11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>
      <c r="E11" s="12" t="s">
        <v>719</v>
      </c>
      <c r="F11" s="4" t="str">
        <f>HLOOKUP($F$9,$B$3:$H$7,ROWS($D$9:D11),0)</f>
        <v>P002</v>
      </c>
    </row>
    <row r="12" spans="1:11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>
      <c r="A1" s="36">
        <v>65</v>
      </c>
      <c r="B1" s="1" t="s">
        <v>740</v>
      </c>
    </row>
    <row r="2" spans="1:9">
      <c r="A2" s="37" t="s">
        <v>2</v>
      </c>
    </row>
    <row r="3" spans="1:9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>
      <c r="B10" s="30"/>
      <c r="H10" s="50"/>
    </row>
    <row r="11" spans="1:9">
      <c r="H11" s="50"/>
    </row>
    <row r="12" spans="1:9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>
      <c r="A1" s="36">
        <v>66</v>
      </c>
      <c r="B1" s="1" t="s">
        <v>749</v>
      </c>
    </row>
    <row r="2" spans="1:9">
      <c r="A2" s="37" t="s">
        <v>2</v>
      </c>
    </row>
    <row r="3" spans="1:9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>
      <c r="A1" s="36">
        <v>67</v>
      </c>
      <c r="B1" s="1" t="s">
        <v>750</v>
      </c>
    </row>
    <row r="2" spans="1:9" ht="16.5" customHeight="1">
      <c r="A2" s="37" t="s">
        <v>2</v>
      </c>
    </row>
    <row r="3" spans="1:9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>
      <c r="B10" s="30"/>
    </row>
    <row r="11" spans="1:9">
      <c r="B11" s="3" t="s">
        <v>718</v>
      </c>
    </row>
    <row r="12" spans="1:9">
      <c r="B12" s="4">
        <v>103</v>
      </c>
    </row>
    <row r="13" spans="1:9" ht="9" customHeight="1"/>
    <row r="14" spans="1:9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>
      <c r="A1" s="36">
        <v>68</v>
      </c>
      <c r="B1" s="1" t="s">
        <v>757</v>
      </c>
    </row>
    <row r="2" spans="1:9" ht="16.5" customHeight="1">
      <c r="A2" s="37" t="s">
        <v>2</v>
      </c>
    </row>
    <row r="3" spans="1:9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>
      <c r="B10" s="30"/>
    </row>
    <row r="11" spans="1:9">
      <c r="B11" s="3" t="s">
        <v>718</v>
      </c>
      <c r="C11" s="3" t="s">
        <v>128</v>
      </c>
    </row>
    <row r="12" spans="1:9">
      <c r="B12" s="4">
        <v>102</v>
      </c>
      <c r="C12" s="4">
        <f>_xlfn.XLOOKUP(B12,B3:B9,F3:F9,"not found",0,-1)</f>
        <v>45000</v>
      </c>
    </row>
    <row r="17" spans="2:8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>
      <c r="B36" s="12" t="s">
        <v>718</v>
      </c>
      <c r="C36" s="34">
        <v>101</v>
      </c>
      <c r="E36" s="12" t="s">
        <v>718</v>
      </c>
      <c r="F36" s="34">
        <v>103</v>
      </c>
    </row>
    <row r="37" spans="2:8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>
      <c r="E38" s="12" t="s">
        <v>719</v>
      </c>
      <c r="F38" s="4" t="str">
        <f>_xlfn.XLOOKUP($F$36,$B$30:$H$30,B32:H32)</f>
        <v>P003</v>
      </c>
    </row>
    <row r="39" spans="2:8">
      <c r="E39" s="12" t="s">
        <v>720</v>
      </c>
      <c r="F39" s="4">
        <f>_xlfn.XLOOKUP($F$36,$B$30:$H$30,B33:H33)</f>
        <v>7</v>
      </c>
    </row>
    <row r="40" spans="2:8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>
      <c r="A1" s="36">
        <v>69</v>
      </c>
      <c r="B1" s="1" t="s">
        <v>75</v>
      </c>
    </row>
    <row r="2" spans="1:18" ht="16.5" customHeight="1" thickBot="1">
      <c r="A2" s="37" t="s">
        <v>2</v>
      </c>
    </row>
    <row r="3" spans="1:18" ht="28.2" thickTop="1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8.600000000000001" thickBot="1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8.600000000000001" thickTop="1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8.600000000000001" thickBot="1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5" t="s">
        <v>778</v>
      </c>
      <c r="L6" s="145"/>
      <c r="M6" s="146"/>
      <c r="N6" s="118" t="s">
        <v>774</v>
      </c>
      <c r="R6" s="115"/>
    </row>
    <row r="7" spans="1:18" ht="18.600000000000001" thickTop="1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7" t="s">
        <v>782</v>
      </c>
      <c r="L15" s="147"/>
    </row>
    <row r="16" spans="1:18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8.600000000000001" thickBot="1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8.600000000000001" thickTop="1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70</v>
      </c>
      <c r="B1" s="148" t="s">
        <v>76</v>
      </c>
      <c r="C1" s="148"/>
    </row>
    <row r="2" spans="1:13">
      <c r="A2" s="37" t="s">
        <v>2</v>
      </c>
    </row>
    <row r="3" spans="1:1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>
      <c r="B5" s="4" t="s">
        <v>727</v>
      </c>
      <c r="C5" s="39" t="s">
        <v>130</v>
      </c>
      <c r="D5" s="21" t="s">
        <v>92</v>
      </c>
      <c r="E5" s="39">
        <v>6200</v>
      </c>
    </row>
    <row r="6" spans="1:1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>
      <c r="B18" s="27">
        <v>45296</v>
      </c>
      <c r="C18" s="4" t="s">
        <v>727</v>
      </c>
      <c r="D18" s="39" t="s">
        <v>130</v>
      </c>
      <c r="E18" s="4" t="s">
        <v>92</v>
      </c>
    </row>
    <row r="19" spans="2:10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>
      <c r="B25" s="27">
        <v>45298</v>
      </c>
      <c r="C25" s="4" t="s">
        <v>788</v>
      </c>
      <c r="D25" s="39" t="s">
        <v>789</v>
      </c>
      <c r="E25" s="4" t="s">
        <v>90</v>
      </c>
    </row>
    <row r="26" spans="2:10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71</v>
      </c>
      <c r="B1" s="1" t="s">
        <v>77</v>
      </c>
      <c r="C1" s="1"/>
    </row>
    <row r="2" spans="1:13">
      <c r="A2" s="37" t="s">
        <v>2</v>
      </c>
    </row>
    <row r="3" spans="1:13">
      <c r="L3" s="38"/>
      <c r="M3" s="38"/>
    </row>
    <row r="5" spans="1:1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72</v>
      </c>
      <c r="B1" s="148" t="s">
        <v>78</v>
      </c>
      <c r="C1" s="148"/>
    </row>
    <row r="2" spans="1:13">
      <c r="A2" s="37" t="s">
        <v>2</v>
      </c>
    </row>
    <row r="3" spans="1:13">
      <c r="L3" s="38"/>
      <c r="M3" s="38"/>
    </row>
    <row r="4" spans="1:1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>
      <c r="B5" s="93" t="s">
        <v>835</v>
      </c>
      <c r="C5" s="94">
        <v>16753</v>
      </c>
      <c r="D5" s="93" t="s">
        <v>836</v>
      </c>
      <c r="E5" s="93" t="s">
        <v>837</v>
      </c>
    </row>
    <row r="6" spans="1:13">
      <c r="B6" s="95" t="s">
        <v>838</v>
      </c>
      <c r="C6" s="96">
        <v>14808</v>
      </c>
      <c r="D6" s="95" t="s">
        <v>839</v>
      </c>
      <c r="E6" s="95" t="s">
        <v>840</v>
      </c>
    </row>
    <row r="7" spans="1:13">
      <c r="B7" s="97" t="s">
        <v>841</v>
      </c>
      <c r="C7" s="98">
        <v>10644</v>
      </c>
      <c r="D7" s="97" t="s">
        <v>836</v>
      </c>
      <c r="E7" s="97" t="s">
        <v>842</v>
      </c>
    </row>
    <row r="8" spans="1:13">
      <c r="B8" s="97" t="s">
        <v>843</v>
      </c>
      <c r="C8" s="98">
        <v>1390</v>
      </c>
      <c r="D8" s="97" t="s">
        <v>839</v>
      </c>
      <c r="E8" s="97" t="s">
        <v>837</v>
      </c>
    </row>
    <row r="9" spans="1:13">
      <c r="B9" s="95" t="s">
        <v>844</v>
      </c>
      <c r="C9" s="96">
        <v>4865</v>
      </c>
      <c r="D9" s="95" t="s">
        <v>839</v>
      </c>
      <c r="E9" s="95" t="s">
        <v>840</v>
      </c>
    </row>
    <row r="10" spans="1:1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73</v>
      </c>
      <c r="B1" s="1" t="s">
        <v>79</v>
      </c>
      <c r="C1" s="1"/>
    </row>
    <row r="2" spans="1:13">
      <c r="A2" s="37" t="s">
        <v>2</v>
      </c>
    </row>
    <row r="3" spans="1:13">
      <c r="L3" s="38"/>
      <c r="M3" s="38"/>
    </row>
    <row r="4" spans="1:13">
      <c r="B4" s="105" t="s">
        <v>79</v>
      </c>
    </row>
    <row r="5" spans="1:1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G8" sqref="G8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74</v>
      </c>
      <c r="B1" s="1" t="s">
        <v>80</v>
      </c>
      <c r="C1" s="1"/>
    </row>
    <row r="2" spans="1:13">
      <c r="A2" s="37" t="s">
        <v>2</v>
      </c>
    </row>
    <row r="3" spans="1:13">
      <c r="L3" s="38"/>
      <c r="M3" s="38"/>
    </row>
    <row r="4" spans="1:13">
      <c r="B4" s="138" t="s">
        <v>141</v>
      </c>
      <c r="C4" s="139" t="s">
        <v>850</v>
      </c>
      <c r="D4" s="139" t="s">
        <v>363</v>
      </c>
      <c r="G4" t="s">
        <v>851</v>
      </c>
    </row>
    <row r="5" spans="1:13">
      <c r="B5" s="30">
        <v>43031</v>
      </c>
      <c r="C5" t="s">
        <v>852</v>
      </c>
      <c r="D5">
        <v>100</v>
      </c>
      <c r="G5" t="s">
        <v>853</v>
      </c>
    </row>
    <row r="6" spans="1:13">
      <c r="B6" s="30">
        <v>43031</v>
      </c>
      <c r="C6" t="s">
        <v>854</v>
      </c>
      <c r="D6">
        <v>200</v>
      </c>
      <c r="G6" t="s">
        <v>855</v>
      </c>
    </row>
    <row r="7" spans="1:13">
      <c r="B7" s="30">
        <v>43032</v>
      </c>
      <c r="C7" t="s">
        <v>856</v>
      </c>
      <c r="D7">
        <v>100</v>
      </c>
      <c r="G7" t="s">
        <v>857</v>
      </c>
    </row>
    <row r="8" spans="1:13">
      <c r="B8" s="30">
        <v>43032</v>
      </c>
      <c r="C8" t="s">
        <v>852</v>
      </c>
      <c r="D8">
        <v>300</v>
      </c>
      <c r="G8" t="s">
        <v>858</v>
      </c>
    </row>
    <row r="9" spans="1:13">
      <c r="B9" s="30">
        <v>43032</v>
      </c>
      <c r="C9" t="s">
        <v>852</v>
      </c>
      <c r="D9">
        <v>700</v>
      </c>
      <c r="G9" t="s">
        <v>859</v>
      </c>
    </row>
    <row r="10" spans="1:13">
      <c r="B10" s="30">
        <v>43031</v>
      </c>
      <c r="C10" t="s">
        <v>856</v>
      </c>
      <c r="D10">
        <v>100</v>
      </c>
      <c r="G10" t="s">
        <v>860</v>
      </c>
    </row>
    <row r="11" spans="1:13">
      <c r="B11" s="30">
        <v>43032</v>
      </c>
      <c r="C11" t="s">
        <v>854</v>
      </c>
      <c r="D11">
        <v>200</v>
      </c>
    </row>
    <row r="12" spans="1:13">
      <c r="B12" s="30">
        <v>43032</v>
      </c>
      <c r="C12" t="s">
        <v>854</v>
      </c>
      <c r="D12">
        <v>500</v>
      </c>
    </row>
    <row r="13" spans="1:1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workbookViewId="0">
      <selection activeCell="B6" sqref="B6"/>
    </sheetView>
  </sheetViews>
  <sheetFormatPr defaultRowHeight="18"/>
  <cols>
    <col min="1" max="1" width="12.6640625" bestFit="1" customWidth="1"/>
    <col min="2" max="2" width="12.9140625" bestFit="1" customWidth="1"/>
  </cols>
  <sheetData>
    <row r="3" spans="1:2">
      <c r="A3" s="132" t="s">
        <v>861</v>
      </c>
      <c r="B3" t="s">
        <v>862</v>
      </c>
    </row>
    <row r="4" spans="1:2">
      <c r="A4" s="13" t="s">
        <v>863</v>
      </c>
      <c r="B4" s="133">
        <v>110.99999999999999</v>
      </c>
    </row>
    <row r="5" spans="1:2">
      <c r="A5" s="13" t="s">
        <v>371</v>
      </c>
      <c r="B5" s="133">
        <v>397.12000000000006</v>
      </c>
    </row>
    <row r="6" spans="1:2">
      <c r="A6" s="13" t="s">
        <v>864</v>
      </c>
      <c r="B6" s="133">
        <v>341.29999999999995</v>
      </c>
    </row>
    <row r="7" spans="1:2">
      <c r="A7" s="13" t="s">
        <v>670</v>
      </c>
      <c r="B7" s="133">
        <v>167.76000000000002</v>
      </c>
    </row>
    <row r="8" spans="1:2">
      <c r="A8" s="13" t="s">
        <v>667</v>
      </c>
      <c r="B8" s="133">
        <v>379.79999999999995</v>
      </c>
    </row>
    <row r="9" spans="1:2">
      <c r="A9" s="13" t="s">
        <v>865</v>
      </c>
      <c r="B9" s="133">
        <v>369.7</v>
      </c>
    </row>
    <row r="10" spans="1:2">
      <c r="A10" s="13" t="s">
        <v>363</v>
      </c>
      <c r="B10" s="133">
        <v>638.49000000000012</v>
      </c>
    </row>
    <row r="11" spans="1:2">
      <c r="A11" s="13" t="s">
        <v>866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6" sqref="B6"/>
    </sheetView>
  </sheetViews>
  <sheetFormatPr defaultRowHeight="18"/>
  <cols>
    <col min="1" max="1" width="12.6640625" bestFit="1" customWidth="1"/>
    <col min="2" max="2" width="12.5" bestFit="1" customWidth="1"/>
  </cols>
  <sheetData>
    <row r="3" spans="1:2">
      <c r="A3" s="132" t="s">
        <v>861</v>
      </c>
      <c r="B3" t="s">
        <v>867</v>
      </c>
    </row>
    <row r="4" spans="1:2">
      <c r="A4" s="13" t="s">
        <v>863</v>
      </c>
      <c r="B4" s="133">
        <v>2204.9299999999998</v>
      </c>
    </row>
    <row r="5" spans="1:2">
      <c r="A5" s="13" t="s">
        <v>371</v>
      </c>
      <c r="B5" s="133">
        <v>14368.039000000001</v>
      </c>
    </row>
    <row r="6" spans="1:2">
      <c r="A6" s="13" t="s">
        <v>864</v>
      </c>
      <c r="B6" s="133">
        <v>8778.9009999999998</v>
      </c>
    </row>
    <row r="7" spans="1:2">
      <c r="A7" s="13" t="s">
        <v>670</v>
      </c>
      <c r="B7" s="133">
        <v>6006.1912000000011</v>
      </c>
    </row>
    <row r="8" spans="1:2">
      <c r="A8" s="13" t="s">
        <v>667</v>
      </c>
      <c r="B8" s="133">
        <v>11048.359999999999</v>
      </c>
    </row>
    <row r="9" spans="1:2">
      <c r="A9" s="13" t="s">
        <v>865</v>
      </c>
      <c r="B9" s="133">
        <v>12055.714</v>
      </c>
    </row>
    <row r="10" spans="1:2">
      <c r="A10" s="13" t="s">
        <v>363</v>
      </c>
      <c r="B10" s="133">
        <v>27282.156799999997</v>
      </c>
    </row>
    <row r="11" spans="1:2">
      <c r="A11" s="13" t="s">
        <v>866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zoomScaleNormal="130" workbookViewId="0">
      <pane ySplit="1" topLeftCell="A2" activePane="bottomLeft" state="frozen"/>
      <selection activeCell="I16" sqref="I16"/>
      <selection pane="bottomLeft" activeCell="A2" sqref="A2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75</v>
      </c>
      <c r="B1" s="148" t="s">
        <v>81</v>
      </c>
      <c r="C1" s="148"/>
    </row>
    <row r="2" spans="1:13">
      <c r="A2" s="37" t="s">
        <v>2</v>
      </c>
    </row>
    <row r="3" spans="1:13">
      <c r="L3" s="38"/>
      <c r="M3" s="38"/>
    </row>
    <row r="5" spans="1:13">
      <c r="A5" s="37" t="s">
        <v>2</v>
      </c>
    </row>
    <row r="7" spans="1:1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K7" sqref="K7"/>
    </sheetView>
  </sheetViews>
  <sheetFormatPr defaultRowHeight="18"/>
  <cols>
    <col min="1" max="1" width="11.5" bestFit="1" customWidth="1"/>
  </cols>
  <sheetData>
    <row r="1" spans="1:7">
      <c r="A1" t="s">
        <v>10</v>
      </c>
    </row>
    <row r="2" spans="1:7" ht="18.600000000000001" thickBot="1">
      <c r="A2" s="37" t="s">
        <v>955</v>
      </c>
    </row>
    <row r="3" spans="1:7" ht="23.4" thickBot="1">
      <c r="A3" s="149" t="s">
        <v>958</v>
      </c>
      <c r="B3" s="150"/>
      <c r="C3" s="150"/>
      <c r="D3" s="150"/>
      <c r="E3" s="150"/>
      <c r="F3" s="150"/>
      <c r="G3" s="151"/>
    </row>
    <row r="4" spans="1:7" ht="18.600000000000001" thickTop="1">
      <c r="A4" s="77"/>
      <c r="B4" s="78"/>
      <c r="C4" s="78"/>
      <c r="D4" s="78"/>
      <c r="E4" s="78"/>
      <c r="F4" s="78"/>
      <c r="G4" s="79"/>
    </row>
    <row r="5" spans="1:7" ht="18.600000000000001" thickBot="1">
      <c r="A5" s="80" t="s">
        <v>959</v>
      </c>
      <c r="B5" s="81"/>
      <c r="C5" s="82"/>
      <c r="D5" s="78"/>
      <c r="E5" s="78"/>
      <c r="F5" s="78"/>
      <c r="G5" s="79"/>
    </row>
    <row r="6" spans="1:7" ht="18.600000000000001" thickTop="1">
      <c r="A6" s="80"/>
      <c r="B6" s="83"/>
      <c r="C6" s="78"/>
      <c r="D6" s="78"/>
      <c r="E6" s="78"/>
      <c r="F6" s="78"/>
      <c r="G6" s="79"/>
    </row>
    <row r="7" spans="1:7" ht="18.600000000000001" thickBot="1">
      <c r="A7" s="80" t="s">
        <v>596</v>
      </c>
      <c r="B7" s="84"/>
      <c r="C7" s="82"/>
      <c r="D7" s="78"/>
      <c r="E7" s="78"/>
      <c r="F7" s="78"/>
      <c r="G7" s="79"/>
    </row>
    <row r="8" spans="1:7" ht="18.600000000000001" thickTop="1">
      <c r="A8" s="80"/>
      <c r="B8" s="83"/>
      <c r="C8" s="78"/>
      <c r="D8" s="78"/>
      <c r="E8" s="78"/>
      <c r="F8" s="78"/>
      <c r="G8" s="79"/>
    </row>
    <row r="9" spans="1:7" ht="18.600000000000001" thickBot="1">
      <c r="A9" s="80" t="s">
        <v>84</v>
      </c>
      <c r="B9" s="84"/>
      <c r="C9" s="82"/>
      <c r="D9" s="78"/>
      <c r="E9" s="78"/>
      <c r="F9" s="78"/>
      <c r="G9" s="79"/>
    </row>
    <row r="10" spans="1:7" ht="18.600000000000001" thickTop="1">
      <c r="A10" s="80"/>
      <c r="B10" s="83"/>
      <c r="C10" s="78"/>
      <c r="D10" s="78"/>
      <c r="E10" s="78"/>
      <c r="F10" s="78"/>
      <c r="G10" s="79"/>
    </row>
    <row r="11" spans="1:7" ht="18.600000000000001" thickBot="1">
      <c r="A11" s="80" t="s">
        <v>664</v>
      </c>
      <c r="B11" s="84"/>
      <c r="C11" s="82"/>
      <c r="D11" s="78"/>
      <c r="E11" s="78"/>
      <c r="F11" s="78"/>
      <c r="G11" s="79"/>
    </row>
    <row r="12" spans="1:7" ht="18.600000000000001" thickTop="1">
      <c r="A12" s="80"/>
      <c r="B12" s="83"/>
      <c r="C12" s="78"/>
      <c r="D12" s="78"/>
      <c r="E12" s="78"/>
      <c r="F12" s="78"/>
      <c r="G12" s="79"/>
    </row>
    <row r="13" spans="1:7" ht="18.600000000000001" thickBot="1">
      <c r="A13" s="80" t="s">
        <v>252</v>
      </c>
      <c r="B13" s="85"/>
      <c r="C13" s="82"/>
      <c r="D13" s="78"/>
      <c r="E13" s="78"/>
      <c r="F13" s="78"/>
      <c r="G13" s="79"/>
    </row>
    <row r="14" spans="1:7" ht="18.600000000000001" thickTop="1">
      <c r="A14" s="77"/>
      <c r="B14" s="78"/>
      <c r="C14" s="78"/>
      <c r="D14" s="78"/>
      <c r="E14" s="78"/>
      <c r="F14" s="78"/>
      <c r="G14" s="79"/>
    </row>
    <row r="15" spans="1:7" ht="18.600000000000001" thickBot="1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workbookViewId="0">
      <selection activeCell="A5" sqref="A5"/>
    </sheetView>
  </sheetViews>
  <sheetFormatPr defaultColWidth="8.83203125" defaultRowHeight="18"/>
  <cols>
    <col min="1" max="1" width="10.4140625" style="90" bestFit="1" customWidth="1"/>
    <col min="2" max="16384" width="8.83203125" style="90"/>
  </cols>
  <sheetData>
    <row r="5" spans="1:1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/>
  <cols>
    <col min="1" max="1" width="10.4140625" bestFit="1" customWidth="1"/>
    <col min="2" max="2" width="14.4140625" customWidth="1"/>
  </cols>
  <sheetData>
    <row r="1" spans="1:21">
      <c r="A1" s="89"/>
      <c r="B1" s="89" t="s">
        <v>955</v>
      </c>
    </row>
    <row r="3" spans="1:21" ht="18.600000000000001" thickBot="1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/>
  <cols>
    <col min="1" max="16384" width="8.83203125" style="90"/>
  </cols>
  <sheetData>
    <row r="5" spans="15:1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/>
  <cols>
    <col min="1" max="16384" width="8.83203125" style="90"/>
  </cols>
  <sheetData>
    <row r="5" spans="15:1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0</v>
      </c>
      <c r="B1" s="148"/>
      <c r="C1" s="148"/>
    </row>
    <row r="2" spans="1:13">
      <c r="A2" s="37" t="s">
        <v>2</v>
      </c>
    </row>
    <row r="3" spans="1:1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0</v>
      </c>
      <c r="B1" s="148"/>
      <c r="C1" s="148"/>
    </row>
    <row r="2" spans="1:13">
      <c r="A2" s="37" t="s">
        <v>2</v>
      </c>
    </row>
    <row r="3" spans="1:1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0</v>
      </c>
      <c r="B1" s="148"/>
      <c r="C1" s="148"/>
    </row>
    <row r="2" spans="1:13">
      <c r="A2" s="37" t="s">
        <v>2</v>
      </c>
    </row>
    <row r="3" spans="1:1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>
      <c r="A1" s="36">
        <v>0</v>
      </c>
      <c r="B1" s="148"/>
      <c r="C1" s="148"/>
    </row>
    <row r="2" spans="1:13">
      <c r="A2" s="37" t="s">
        <v>2</v>
      </c>
    </row>
    <row r="3" spans="1:1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>
      <c r="A2" s="132" t="s">
        <v>357</v>
      </c>
      <c r="B2" s="132" t="s">
        <v>84</v>
      </c>
      <c r="C2" t="s">
        <v>967</v>
      </c>
    </row>
    <row r="3" spans="1:3">
      <c r="A3" t="s">
        <v>375</v>
      </c>
      <c r="B3" t="s">
        <v>547</v>
      </c>
      <c r="C3">
        <v>15750</v>
      </c>
    </row>
    <row r="4" spans="1:3">
      <c r="B4" t="s">
        <v>422</v>
      </c>
      <c r="C4">
        <v>15610</v>
      </c>
    </row>
    <row r="5" spans="1:3">
      <c r="B5" t="s">
        <v>90</v>
      </c>
      <c r="C5">
        <v>13708.333333333334</v>
      </c>
    </row>
    <row r="6" spans="1:3">
      <c r="B6" t="s">
        <v>506</v>
      </c>
      <c r="C6">
        <v>13125</v>
      </c>
    </row>
    <row r="7" spans="1:3">
      <c r="A7" t="s">
        <v>968</v>
      </c>
      <c r="C7">
        <v>14652.272727272728</v>
      </c>
    </row>
    <row r="8" spans="1:3">
      <c r="A8" t="s">
        <v>397</v>
      </c>
      <c r="B8" t="s">
        <v>547</v>
      </c>
      <c r="C8">
        <v>16333.333333333334</v>
      </c>
    </row>
    <row r="9" spans="1:3">
      <c r="B9" t="s">
        <v>506</v>
      </c>
      <c r="C9">
        <v>16333.333333333334</v>
      </c>
    </row>
    <row r="10" spans="1:3">
      <c r="B10" t="s">
        <v>90</v>
      </c>
      <c r="C10">
        <v>16333.333333333334</v>
      </c>
    </row>
    <row r="11" spans="1:3">
      <c r="B11" t="s">
        <v>422</v>
      </c>
      <c r="C11">
        <v>13475</v>
      </c>
    </row>
    <row r="12" spans="1:3">
      <c r="A12" t="s">
        <v>969</v>
      </c>
      <c r="C12">
        <v>15082.8125</v>
      </c>
    </row>
    <row r="13" spans="1:3">
      <c r="A13" t="s">
        <v>508</v>
      </c>
      <c r="B13" t="s">
        <v>506</v>
      </c>
      <c r="C13">
        <v>49000</v>
      </c>
    </row>
    <row r="14" spans="1:3">
      <c r="A14" t="s">
        <v>970</v>
      </c>
      <c r="C14">
        <v>49000</v>
      </c>
    </row>
    <row r="15" spans="1:3">
      <c r="A15" t="s">
        <v>371</v>
      </c>
      <c r="B15" t="s">
        <v>422</v>
      </c>
      <c r="C15">
        <v>24500</v>
      </c>
    </row>
    <row r="16" spans="1:3">
      <c r="B16" t="s">
        <v>90</v>
      </c>
      <c r="C16">
        <v>19250</v>
      </c>
    </row>
    <row r="17" spans="1:3">
      <c r="B17" t="s">
        <v>506</v>
      </c>
      <c r="C17">
        <v>16187.5</v>
      </c>
    </row>
    <row r="18" spans="1:3">
      <c r="B18" t="s">
        <v>547</v>
      </c>
      <c r="C18">
        <v>12687.5</v>
      </c>
    </row>
    <row r="19" spans="1:3">
      <c r="A19" t="s">
        <v>971</v>
      </c>
      <c r="C19">
        <v>18000</v>
      </c>
    </row>
    <row r="20" spans="1:3">
      <c r="A20" t="s">
        <v>954</v>
      </c>
      <c r="B20" t="s">
        <v>90</v>
      </c>
      <c r="C20">
        <v>17500</v>
      </c>
    </row>
    <row r="21" spans="1:3">
      <c r="A21" t="s">
        <v>972</v>
      </c>
      <c r="C21">
        <v>17500</v>
      </c>
    </row>
    <row r="22" spans="1:3">
      <c r="A22" t="s">
        <v>367</v>
      </c>
      <c r="B22" t="s">
        <v>506</v>
      </c>
      <c r="C22">
        <v>15837.5</v>
      </c>
    </row>
    <row r="23" spans="1:3">
      <c r="B23" t="s">
        <v>90</v>
      </c>
      <c r="C23">
        <v>13737.5</v>
      </c>
    </row>
    <row r="24" spans="1:3">
      <c r="B24" t="s">
        <v>422</v>
      </c>
      <c r="C24">
        <v>13533.333333333334</v>
      </c>
    </row>
    <row r="25" spans="1:3">
      <c r="B25" t="s">
        <v>547</v>
      </c>
      <c r="C25">
        <v>10237.5</v>
      </c>
    </row>
    <row r="26" spans="1:3">
      <c r="A26" t="s">
        <v>973</v>
      </c>
      <c r="C26">
        <v>13358.333333333334</v>
      </c>
    </row>
    <row r="27" spans="1:3">
      <c r="A27" t="s">
        <v>384</v>
      </c>
      <c r="B27" t="s">
        <v>506</v>
      </c>
      <c r="C27">
        <v>17500</v>
      </c>
    </row>
    <row r="28" spans="1:3">
      <c r="B28" t="s">
        <v>422</v>
      </c>
      <c r="C28">
        <v>16275</v>
      </c>
    </row>
    <row r="29" spans="1:3">
      <c r="B29" t="s">
        <v>90</v>
      </c>
      <c r="C29">
        <v>14000</v>
      </c>
    </row>
    <row r="30" spans="1:3">
      <c r="B30" t="s">
        <v>547</v>
      </c>
      <c r="C30">
        <v>13912.5</v>
      </c>
    </row>
    <row r="31" spans="1:3">
      <c r="A31" t="s">
        <v>974</v>
      </c>
      <c r="C31">
        <v>15210.416666666666</v>
      </c>
    </row>
    <row r="32" spans="1:3">
      <c r="A32" t="s">
        <v>391</v>
      </c>
      <c r="B32" t="s">
        <v>422</v>
      </c>
      <c r="C32">
        <v>15662.5</v>
      </c>
    </row>
    <row r="33" spans="1:3">
      <c r="B33" t="s">
        <v>506</v>
      </c>
      <c r="C33">
        <v>14233.333333333334</v>
      </c>
    </row>
    <row r="34" spans="1:3">
      <c r="B34" t="s">
        <v>547</v>
      </c>
      <c r="C34">
        <v>13941.666666666666</v>
      </c>
    </row>
    <row r="35" spans="1:3">
      <c r="B35" t="s">
        <v>90</v>
      </c>
      <c r="C35">
        <v>12600</v>
      </c>
    </row>
    <row r="36" spans="1:3">
      <c r="A36" t="s">
        <v>975</v>
      </c>
      <c r="C36">
        <v>14566.176470588236</v>
      </c>
    </row>
    <row r="37" spans="1:3">
      <c r="A37" t="s">
        <v>363</v>
      </c>
      <c r="B37" t="s">
        <v>90</v>
      </c>
      <c r="C37">
        <v>19833.333333333332</v>
      </c>
    </row>
    <row r="38" spans="1:3">
      <c r="B38" t="s">
        <v>422</v>
      </c>
      <c r="C38">
        <v>17750.142857142859</v>
      </c>
    </row>
    <row r="39" spans="1:3">
      <c r="B39" t="s">
        <v>547</v>
      </c>
      <c r="C39">
        <v>15750</v>
      </c>
    </row>
    <row r="40" spans="1:3">
      <c r="B40" t="s">
        <v>506</v>
      </c>
      <c r="C40">
        <v>13956.25</v>
      </c>
    </row>
    <row r="41" spans="1:3">
      <c r="A41" t="s">
        <v>976</v>
      </c>
      <c r="C41">
        <v>16872.117647058825</v>
      </c>
    </row>
    <row r="42" spans="1: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359</v>
      </c>
      <c r="B2" t="s">
        <v>967</v>
      </c>
    </row>
    <row r="3" spans="1:2">
      <c r="A3" s="134">
        <v>28126</v>
      </c>
      <c r="B3">
        <v>19687.5</v>
      </c>
    </row>
    <row r="4" spans="1:2">
      <c r="A4" s="134">
        <v>28326</v>
      </c>
      <c r="B4">
        <v>15750</v>
      </c>
    </row>
    <row r="5" spans="1:2">
      <c r="A5" s="134">
        <v>28907</v>
      </c>
      <c r="B5">
        <v>22750</v>
      </c>
    </row>
    <row r="6" spans="1:2">
      <c r="A6" s="134">
        <v>29172</v>
      </c>
      <c r="B6">
        <v>22750</v>
      </c>
    </row>
    <row r="7" spans="1:2">
      <c r="A7" s="134">
        <v>29183</v>
      </c>
      <c r="B7">
        <v>12250</v>
      </c>
    </row>
    <row r="8" spans="1:2">
      <c r="A8" s="134">
        <v>29226</v>
      </c>
      <c r="B8">
        <v>22750</v>
      </c>
    </row>
    <row r="9" spans="1:2">
      <c r="A9" s="134">
        <v>29362</v>
      </c>
      <c r="B9">
        <v>14875</v>
      </c>
    </row>
    <row r="10" spans="1:2">
      <c r="A10" s="134">
        <v>30225</v>
      </c>
      <c r="B10">
        <v>20708.333333333332</v>
      </c>
    </row>
    <row r="11" spans="1:2">
      <c r="A11" s="134">
        <v>30376</v>
      </c>
      <c r="B11">
        <v>17500</v>
      </c>
    </row>
    <row r="12" spans="1:2">
      <c r="A12" s="134">
        <v>31027</v>
      </c>
      <c r="B12">
        <v>19250</v>
      </c>
    </row>
    <row r="13" spans="1:2">
      <c r="A13" s="134">
        <v>31028</v>
      </c>
      <c r="B13">
        <v>49000</v>
      </c>
    </row>
    <row r="14" spans="1:2">
      <c r="A14" s="134">
        <v>31029</v>
      </c>
      <c r="B14">
        <v>14875</v>
      </c>
    </row>
    <row r="15" spans="1:2">
      <c r="A15" s="134">
        <v>31030</v>
      </c>
      <c r="B15">
        <v>14875</v>
      </c>
    </row>
    <row r="16" spans="1:2">
      <c r="A16" s="134">
        <v>31402</v>
      </c>
      <c r="B16">
        <v>14875</v>
      </c>
    </row>
    <row r="17" spans="1:2">
      <c r="A17" s="134">
        <v>31637</v>
      </c>
      <c r="B17">
        <v>10500</v>
      </c>
    </row>
    <row r="18" spans="1:2">
      <c r="A18" s="134">
        <v>31717</v>
      </c>
      <c r="B18">
        <v>15750</v>
      </c>
    </row>
    <row r="19" spans="1:2">
      <c r="A19" s="134">
        <v>31791</v>
      </c>
      <c r="B19">
        <v>19250</v>
      </c>
    </row>
    <row r="20" spans="1:2">
      <c r="A20" s="134">
        <v>32105</v>
      </c>
      <c r="B20">
        <v>19250</v>
      </c>
    </row>
    <row r="21" spans="1:2">
      <c r="A21" s="134">
        <v>32106</v>
      </c>
      <c r="B21">
        <v>19250</v>
      </c>
    </row>
    <row r="22" spans="1:2">
      <c r="A22" s="134">
        <v>32107</v>
      </c>
      <c r="B22">
        <v>19251</v>
      </c>
    </row>
    <row r="23" spans="1:2">
      <c r="A23" s="134">
        <v>32180</v>
      </c>
      <c r="B23">
        <v>15750</v>
      </c>
    </row>
    <row r="24" spans="1:2">
      <c r="A24" s="134">
        <v>32390</v>
      </c>
      <c r="B24">
        <v>12425</v>
      </c>
    </row>
    <row r="25" spans="1:2">
      <c r="A25" s="134">
        <v>32435</v>
      </c>
      <c r="B25">
        <v>15435</v>
      </c>
    </row>
    <row r="26" spans="1:2">
      <c r="A26" s="134">
        <v>32436</v>
      </c>
      <c r="B26">
        <v>15750</v>
      </c>
    </row>
    <row r="27" spans="1:2">
      <c r="A27" s="134">
        <v>32437</v>
      </c>
      <c r="B27">
        <v>19250</v>
      </c>
    </row>
    <row r="28" spans="1:2">
      <c r="A28" s="134">
        <v>32438</v>
      </c>
      <c r="B28">
        <v>17500</v>
      </c>
    </row>
    <row r="29" spans="1:2">
      <c r="A29" s="134">
        <v>32439</v>
      </c>
      <c r="B29">
        <v>17500</v>
      </c>
    </row>
    <row r="30" spans="1:2">
      <c r="A30" s="134">
        <v>32440</v>
      </c>
      <c r="B30">
        <v>17500</v>
      </c>
    </row>
    <row r="31" spans="1:2">
      <c r="A31" s="134">
        <v>32441</v>
      </c>
      <c r="B31">
        <v>17500</v>
      </c>
    </row>
    <row r="32" spans="1:2">
      <c r="A32" s="134">
        <v>32442</v>
      </c>
      <c r="B32">
        <v>17500</v>
      </c>
    </row>
    <row r="33" spans="1:2">
      <c r="A33" s="134">
        <v>32443</v>
      </c>
      <c r="B33">
        <v>17500</v>
      </c>
    </row>
    <row r="34" spans="1:2">
      <c r="A34" s="134">
        <v>32444</v>
      </c>
      <c r="B34">
        <v>18812.5</v>
      </c>
    </row>
    <row r="35" spans="1:2">
      <c r="A35" s="134">
        <v>32445</v>
      </c>
      <c r="B35">
        <v>17500</v>
      </c>
    </row>
    <row r="36" spans="1:2">
      <c r="A36" s="134">
        <v>32446</v>
      </c>
      <c r="B36">
        <v>17500</v>
      </c>
    </row>
    <row r="37" spans="1:2">
      <c r="A37" s="134">
        <v>32447</v>
      </c>
      <c r="B37">
        <v>17500</v>
      </c>
    </row>
    <row r="38" spans="1:2">
      <c r="A38" s="134">
        <v>32448</v>
      </c>
      <c r="B38">
        <v>17500</v>
      </c>
    </row>
    <row r="39" spans="1:2">
      <c r="A39" s="134">
        <v>32603</v>
      </c>
      <c r="B39">
        <v>17325</v>
      </c>
    </row>
    <row r="40" spans="1:2">
      <c r="A40" s="134">
        <v>32604</v>
      </c>
      <c r="B40">
        <v>17325</v>
      </c>
    </row>
    <row r="41" spans="1:2">
      <c r="A41" s="134">
        <v>32605</v>
      </c>
      <c r="B41">
        <v>17325</v>
      </c>
    </row>
    <row r="42" spans="1:2">
      <c r="A42" s="134">
        <v>32606</v>
      </c>
      <c r="B42">
        <v>17325</v>
      </c>
    </row>
    <row r="43" spans="1:2">
      <c r="A43" s="134">
        <v>32607</v>
      </c>
      <c r="B43">
        <v>17325</v>
      </c>
    </row>
    <row r="44" spans="1:2">
      <c r="A44" s="134">
        <v>32608</v>
      </c>
      <c r="B44">
        <v>17325</v>
      </c>
    </row>
    <row r="45" spans="1:2">
      <c r="A45" s="134">
        <v>32609</v>
      </c>
      <c r="B45">
        <v>17325</v>
      </c>
    </row>
    <row r="46" spans="1:2">
      <c r="A46" s="134">
        <v>32755</v>
      </c>
      <c r="B46">
        <v>16712.5</v>
      </c>
    </row>
    <row r="47" spans="1:2">
      <c r="A47" s="134">
        <v>33102</v>
      </c>
      <c r="B47">
        <v>12425</v>
      </c>
    </row>
    <row r="48" spans="1:2">
      <c r="A48" s="134">
        <v>33182</v>
      </c>
      <c r="B48">
        <v>17500</v>
      </c>
    </row>
    <row r="49" spans="1:2">
      <c r="A49" s="134">
        <v>33194</v>
      </c>
      <c r="B49">
        <v>13825</v>
      </c>
    </row>
    <row r="50" spans="1:2">
      <c r="A50" s="134">
        <v>33510</v>
      </c>
      <c r="B50">
        <v>12075</v>
      </c>
    </row>
    <row r="51" spans="1:2">
      <c r="A51" s="134">
        <v>33729</v>
      </c>
      <c r="B51">
        <v>9275</v>
      </c>
    </row>
    <row r="52" spans="1:2">
      <c r="A52" s="134">
        <v>33787</v>
      </c>
      <c r="B52">
        <v>13125</v>
      </c>
    </row>
    <row r="53" spans="1:2">
      <c r="A53" s="134">
        <v>33878</v>
      </c>
      <c r="B53">
        <v>14875</v>
      </c>
    </row>
    <row r="54" spans="1:2">
      <c r="A54" s="134">
        <v>34098</v>
      </c>
      <c r="B54">
        <v>14875</v>
      </c>
    </row>
    <row r="55" spans="1:2">
      <c r="A55" s="134">
        <v>34580</v>
      </c>
      <c r="B55">
        <v>11725</v>
      </c>
    </row>
    <row r="56" spans="1:2">
      <c r="A56" s="134">
        <v>34761</v>
      </c>
      <c r="B56">
        <v>14875</v>
      </c>
    </row>
    <row r="57" spans="1:2">
      <c r="A57" s="134">
        <v>34762</v>
      </c>
      <c r="B57">
        <v>14000</v>
      </c>
    </row>
    <row r="58" spans="1:2">
      <c r="A58" s="134">
        <v>34763</v>
      </c>
      <c r="B58">
        <v>14000</v>
      </c>
    </row>
    <row r="59" spans="1:2">
      <c r="A59" s="134">
        <v>34777</v>
      </c>
      <c r="B59">
        <v>10500</v>
      </c>
    </row>
    <row r="60" spans="1:2">
      <c r="A60" s="134">
        <v>35034</v>
      </c>
      <c r="B60">
        <v>14875</v>
      </c>
    </row>
    <row r="61" spans="1:2">
      <c r="A61" s="134">
        <v>35189</v>
      </c>
      <c r="B61">
        <v>9625</v>
      </c>
    </row>
    <row r="62" spans="1:2">
      <c r="A62" s="134">
        <v>35595</v>
      </c>
      <c r="B62">
        <v>7875</v>
      </c>
    </row>
    <row r="63" spans="1:2">
      <c r="A63" s="134">
        <v>35618</v>
      </c>
      <c r="B63">
        <v>9187.5</v>
      </c>
    </row>
    <row r="64" spans="1:2">
      <c r="A64" s="134">
        <v>35794</v>
      </c>
      <c r="B64">
        <v>9187.5</v>
      </c>
    </row>
    <row r="65" spans="1:2">
      <c r="A65" s="134">
        <v>35809</v>
      </c>
      <c r="B65">
        <v>7000</v>
      </c>
    </row>
    <row r="66" spans="1:2">
      <c r="A66" s="134">
        <v>35810</v>
      </c>
      <c r="B66">
        <v>17500</v>
      </c>
    </row>
    <row r="67" spans="1:2">
      <c r="A67" s="134">
        <v>35811</v>
      </c>
      <c r="B67">
        <v>17500</v>
      </c>
    </row>
    <row r="68" spans="1:2">
      <c r="A68" s="134">
        <v>36193</v>
      </c>
      <c r="B68">
        <v>7875</v>
      </c>
    </row>
    <row r="69" spans="1:2">
      <c r="A69" s="134">
        <v>36220</v>
      </c>
      <c r="B69">
        <v>7000</v>
      </c>
    </row>
    <row r="70" spans="1:2">
      <c r="A70" s="134">
        <v>36221</v>
      </c>
      <c r="B70">
        <v>7000</v>
      </c>
    </row>
    <row r="71" spans="1:2">
      <c r="A71" s="134">
        <v>36222</v>
      </c>
      <c r="B71">
        <v>7000</v>
      </c>
    </row>
    <row r="72" spans="1:2">
      <c r="A72" s="134">
        <v>36274</v>
      </c>
      <c r="B72">
        <v>7875</v>
      </c>
    </row>
    <row r="73" spans="1:2">
      <c r="A73" s="134">
        <v>36316</v>
      </c>
      <c r="B73">
        <v>5950</v>
      </c>
    </row>
    <row r="74" spans="1:2">
      <c r="A74" s="134">
        <v>36317</v>
      </c>
      <c r="B74">
        <v>7875</v>
      </c>
    </row>
    <row r="75" spans="1:2">
      <c r="A75" s="134">
        <v>36318</v>
      </c>
      <c r="B75">
        <v>7875</v>
      </c>
    </row>
    <row r="76" spans="1:2">
      <c r="A76" s="134">
        <v>36319</v>
      </c>
      <c r="B76">
        <v>7875</v>
      </c>
    </row>
    <row r="77" spans="1:2">
      <c r="A77" s="134">
        <v>36506</v>
      </c>
      <c r="B77">
        <v>14875</v>
      </c>
    </row>
    <row r="78" spans="1:2">
      <c r="A78" s="134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357</v>
      </c>
      <c r="B2" t="s">
        <v>967</v>
      </c>
    </row>
    <row r="3" spans="1:2">
      <c r="A3" t="s">
        <v>508</v>
      </c>
      <c r="B3">
        <v>49000</v>
      </c>
    </row>
    <row r="4" spans="1:2">
      <c r="A4" t="s">
        <v>371</v>
      </c>
      <c r="B4">
        <v>18000</v>
      </c>
    </row>
    <row r="5" spans="1:2">
      <c r="A5" t="s">
        <v>954</v>
      </c>
      <c r="B5">
        <v>17500</v>
      </c>
    </row>
    <row r="6" spans="1:2">
      <c r="A6" t="s">
        <v>363</v>
      </c>
      <c r="B6">
        <v>16872.117647058825</v>
      </c>
    </row>
    <row r="7" spans="1:2">
      <c r="A7" t="s">
        <v>384</v>
      </c>
      <c r="B7">
        <v>15210.416666666666</v>
      </c>
    </row>
    <row r="8" spans="1:2">
      <c r="A8" t="s">
        <v>397</v>
      </c>
      <c r="B8">
        <v>15082.8125</v>
      </c>
    </row>
    <row r="9" spans="1:2">
      <c r="A9" t="s">
        <v>375</v>
      </c>
      <c r="B9">
        <v>14652.272727272728</v>
      </c>
    </row>
    <row r="10" spans="1:2">
      <c r="A10" t="s">
        <v>391</v>
      </c>
      <c r="B10">
        <v>14566.176470588236</v>
      </c>
    </row>
    <row r="11" spans="1:2">
      <c r="A11" t="s">
        <v>367</v>
      </c>
      <c r="B11">
        <v>13358.333333333334</v>
      </c>
    </row>
    <row r="12" spans="1:2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357</v>
      </c>
      <c r="B2" t="s">
        <v>391</v>
      </c>
    </row>
    <row r="4" spans="1:2">
      <c r="A4" s="132" t="s">
        <v>359</v>
      </c>
      <c r="B4" t="s">
        <v>967</v>
      </c>
    </row>
    <row r="5" spans="1:2">
      <c r="A5" s="134">
        <v>29226</v>
      </c>
      <c r="B5">
        <v>22750</v>
      </c>
    </row>
    <row r="6" spans="1:2">
      <c r="A6" s="134">
        <v>30225</v>
      </c>
      <c r="B6">
        <v>15750</v>
      </c>
    </row>
    <row r="7" spans="1:2">
      <c r="A7" s="134">
        <v>32438</v>
      </c>
      <c r="B7">
        <v>17500</v>
      </c>
    </row>
    <row r="8" spans="1:2">
      <c r="A8" s="134">
        <v>32440</v>
      </c>
      <c r="B8">
        <v>17500</v>
      </c>
    </row>
    <row r="9" spans="1:2">
      <c r="A9" s="134">
        <v>32443</v>
      </c>
      <c r="B9">
        <v>17500</v>
      </c>
    </row>
    <row r="10" spans="1:2">
      <c r="A10" s="134">
        <v>32448</v>
      </c>
      <c r="B10">
        <v>17500</v>
      </c>
    </row>
    <row r="11" spans="1:2">
      <c r="A11" s="134">
        <v>32607</v>
      </c>
      <c r="B11">
        <v>17325</v>
      </c>
    </row>
    <row r="12" spans="1:2">
      <c r="A12" s="134">
        <v>32608</v>
      </c>
      <c r="B12">
        <v>17325</v>
      </c>
    </row>
    <row r="13" spans="1:2">
      <c r="A13" s="134">
        <v>32755</v>
      </c>
      <c r="B13">
        <v>16712.5</v>
      </c>
    </row>
    <row r="14" spans="1:2">
      <c r="A14" s="134">
        <v>33510</v>
      </c>
      <c r="B14">
        <v>13300</v>
      </c>
    </row>
    <row r="15" spans="1:2">
      <c r="A15" s="134">
        <v>34763</v>
      </c>
      <c r="B15">
        <v>14000</v>
      </c>
    </row>
    <row r="16" spans="1:2">
      <c r="A16" s="134">
        <v>34777</v>
      </c>
      <c r="B16">
        <v>10500</v>
      </c>
    </row>
    <row r="17" spans="1:2">
      <c r="A17" s="134">
        <v>35618</v>
      </c>
      <c r="B17">
        <v>11375</v>
      </c>
    </row>
    <row r="18" spans="1:2">
      <c r="A18" s="134">
        <v>35809</v>
      </c>
      <c r="B18">
        <v>7000</v>
      </c>
    </row>
    <row r="19" spans="1:2">
      <c r="A19" s="134">
        <v>36222</v>
      </c>
      <c r="B19">
        <v>7000</v>
      </c>
    </row>
    <row r="20" spans="1:2">
      <c r="A20" s="134">
        <v>36274</v>
      </c>
      <c r="B20">
        <v>7875</v>
      </c>
    </row>
    <row r="21" spans="1:2">
      <c r="A21" s="134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319</v>
      </c>
      <c r="B2" t="s">
        <v>403</v>
      </c>
    </row>
    <row r="4" spans="1:2">
      <c r="A4" s="132" t="s">
        <v>84</v>
      </c>
      <c r="B4" t="s">
        <v>967</v>
      </c>
    </row>
    <row r="5" spans="1:2">
      <c r="A5" t="s">
        <v>506</v>
      </c>
      <c r="B5">
        <v>49000</v>
      </c>
    </row>
    <row r="6" spans="1:2">
      <c r="A6" t="s">
        <v>90</v>
      </c>
      <c r="B6">
        <v>17500</v>
      </c>
    </row>
    <row r="7" spans="1:2">
      <c r="A7" t="s">
        <v>422</v>
      </c>
      <c r="B7">
        <v>14000</v>
      </c>
    </row>
    <row r="8" spans="1:2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357</v>
      </c>
      <c r="B2" t="s">
        <v>397</v>
      </c>
    </row>
    <row r="4" spans="1:2">
      <c r="A4" s="132" t="s">
        <v>359</v>
      </c>
      <c r="B4" t="s">
        <v>967</v>
      </c>
    </row>
    <row r="5" spans="1:2">
      <c r="A5" s="134">
        <v>30225</v>
      </c>
      <c r="B5">
        <v>15750</v>
      </c>
    </row>
    <row r="6" spans="1:2">
      <c r="A6" s="134">
        <v>31717</v>
      </c>
      <c r="B6">
        <v>15750</v>
      </c>
    </row>
    <row r="7" spans="1:2">
      <c r="A7" s="134">
        <v>32435</v>
      </c>
      <c r="B7">
        <v>15750</v>
      </c>
    </row>
    <row r="8" spans="1:2">
      <c r="A8" s="134">
        <v>32437</v>
      </c>
      <c r="B8">
        <v>19250</v>
      </c>
    </row>
    <row r="9" spans="1:2">
      <c r="A9" s="134">
        <v>32439</v>
      </c>
      <c r="B9">
        <v>17500</v>
      </c>
    </row>
    <row r="10" spans="1:2">
      <c r="A10" s="134">
        <v>32442</v>
      </c>
      <c r="B10">
        <v>17500</v>
      </c>
    </row>
    <row r="11" spans="1:2">
      <c r="A11" s="134">
        <v>32447</v>
      </c>
      <c r="B11">
        <v>17500</v>
      </c>
    </row>
    <row r="12" spans="1:2">
      <c r="A12" s="134">
        <v>32609</v>
      </c>
      <c r="B12">
        <v>17325</v>
      </c>
    </row>
    <row r="13" spans="1:2">
      <c r="A13" s="134">
        <v>33510</v>
      </c>
      <c r="B13">
        <v>8750</v>
      </c>
    </row>
    <row r="14" spans="1:2">
      <c r="A14" s="134">
        <v>34761</v>
      </c>
      <c r="B14">
        <v>15750</v>
      </c>
    </row>
    <row r="15" spans="1:2">
      <c r="A15" s="134">
        <v>35034</v>
      </c>
      <c r="B15">
        <v>15750</v>
      </c>
    </row>
    <row r="16" spans="1:2">
      <c r="A16" s="134">
        <v>35618</v>
      </c>
      <c r="B16">
        <v>7000</v>
      </c>
    </row>
    <row r="17" spans="1:2">
      <c r="A17" s="134">
        <v>35810</v>
      </c>
      <c r="B17">
        <v>17500</v>
      </c>
    </row>
    <row r="18" spans="1:2">
      <c r="A18" s="134">
        <v>36221</v>
      </c>
      <c r="B18">
        <v>7000</v>
      </c>
    </row>
    <row r="19" spans="1:2">
      <c r="A19" s="134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319</v>
      </c>
      <c r="B2" t="s">
        <v>403</v>
      </c>
    </row>
    <row r="4" spans="1:2">
      <c r="A4" s="132" t="s">
        <v>356</v>
      </c>
      <c r="B4" t="s">
        <v>967</v>
      </c>
    </row>
    <row r="5" spans="1:2">
      <c r="A5">
        <v>14</v>
      </c>
      <c r="B5">
        <v>49000</v>
      </c>
    </row>
    <row r="6" spans="1:2">
      <c r="A6">
        <v>65</v>
      </c>
      <c r="B6">
        <v>17500</v>
      </c>
    </row>
    <row r="7" spans="1:2">
      <c r="A7">
        <v>68</v>
      </c>
      <c r="B7">
        <v>14000</v>
      </c>
    </row>
    <row r="8" spans="1:2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319</v>
      </c>
      <c r="B2" t="s">
        <v>485</v>
      </c>
    </row>
    <row r="4" spans="1:2">
      <c r="A4" s="132" t="s">
        <v>356</v>
      </c>
      <c r="B4" t="s">
        <v>967</v>
      </c>
    </row>
    <row r="5" spans="1:2">
      <c r="A5">
        <v>66</v>
      </c>
      <c r="B5">
        <v>17500</v>
      </c>
    </row>
    <row r="6" spans="1:2">
      <c r="A6">
        <v>77</v>
      </c>
      <c r="B6">
        <v>17500</v>
      </c>
    </row>
    <row r="7" spans="1:2">
      <c r="A7">
        <v>99</v>
      </c>
      <c r="B7">
        <v>10500</v>
      </c>
    </row>
    <row r="8" spans="1:2">
      <c r="A8">
        <v>83</v>
      </c>
      <c r="B8">
        <v>7000</v>
      </c>
    </row>
    <row r="9" spans="1:2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319</v>
      </c>
      <c r="B2" t="s">
        <v>403</v>
      </c>
    </row>
    <row r="4" spans="1:2">
      <c r="A4" s="132" t="s">
        <v>358</v>
      </c>
      <c r="B4" t="s">
        <v>967</v>
      </c>
    </row>
    <row r="5" spans="1:2">
      <c r="A5" t="s">
        <v>509</v>
      </c>
      <c r="B5">
        <v>49000</v>
      </c>
    </row>
    <row r="6" spans="1:2">
      <c r="A6" t="s">
        <v>372</v>
      </c>
      <c r="B6">
        <v>17500</v>
      </c>
    </row>
    <row r="7" spans="1:2">
      <c r="A7" t="s">
        <v>385</v>
      </c>
      <c r="B7">
        <v>14000</v>
      </c>
    </row>
    <row r="8" spans="1:2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/>
  <cols>
    <col min="1" max="1" width="11.58203125" bestFit="1" customWidth="1"/>
    <col min="2" max="2" width="16.83203125" bestFit="1" customWidth="1"/>
  </cols>
  <sheetData>
    <row r="2" spans="1:2">
      <c r="A2" s="132" t="s">
        <v>319</v>
      </c>
      <c r="B2" t="s">
        <v>325</v>
      </c>
    </row>
    <row r="4" spans="1:2">
      <c r="A4" s="132" t="s">
        <v>359</v>
      </c>
      <c r="B4" t="s">
        <v>967</v>
      </c>
    </row>
    <row r="5" spans="1:2">
      <c r="A5" s="134">
        <v>28126</v>
      </c>
      <c r="B5">
        <v>17500</v>
      </c>
    </row>
    <row r="6" spans="1:2">
      <c r="A6" s="134">
        <v>32607</v>
      </c>
      <c r="B6">
        <v>17325</v>
      </c>
    </row>
    <row r="7" spans="1:2">
      <c r="A7" s="134">
        <v>36220</v>
      </c>
      <c r="B7">
        <v>7000</v>
      </c>
    </row>
    <row r="8" spans="1:2">
      <c r="A8" s="134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/>
  <cols>
    <col min="2" max="2" width="2.83203125" customWidth="1"/>
    <col min="3" max="3" width="16.83203125" bestFit="1" customWidth="1"/>
  </cols>
  <sheetData>
    <row r="2" spans="2:3">
      <c r="B2" s="135" t="s">
        <v>977</v>
      </c>
    </row>
    <row r="4" spans="2:3">
      <c r="C4" s="132" t="s">
        <v>967</v>
      </c>
    </row>
    <row r="5" spans="2: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>
      <c r="B2" s="135" t="s">
        <v>978</v>
      </c>
    </row>
    <row r="4" spans="2:13">
      <c r="C4" s="132" t="s">
        <v>967</v>
      </c>
      <c r="D4" s="132" t="s">
        <v>357</v>
      </c>
    </row>
    <row r="5" spans="2:13">
      <c r="C5" s="132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>
      <c r="C6" t="s">
        <v>509</v>
      </c>
      <c r="E6">
        <v>15750</v>
      </c>
      <c r="F6">
        <v>49000</v>
      </c>
      <c r="M6">
        <v>32375</v>
      </c>
    </row>
    <row r="7" spans="2:13">
      <c r="C7" t="s">
        <v>519</v>
      </c>
      <c r="G7">
        <v>24500</v>
      </c>
      <c r="K7">
        <v>17500</v>
      </c>
      <c r="M7">
        <v>21000</v>
      </c>
    </row>
    <row r="8" spans="2:1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>
      <c r="C9" t="s">
        <v>531</v>
      </c>
      <c r="I9">
        <v>19250</v>
      </c>
      <c r="K9">
        <v>17325</v>
      </c>
      <c r="M9">
        <v>18287.5</v>
      </c>
    </row>
    <row r="10" spans="2:1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>
      <c r="C16" t="s">
        <v>398</v>
      </c>
      <c r="E16">
        <v>15750</v>
      </c>
      <c r="I16">
        <v>17325</v>
      </c>
      <c r="M16">
        <v>16537.5</v>
      </c>
    </row>
    <row r="17" spans="3:13">
      <c r="C17" t="s">
        <v>526</v>
      </c>
      <c r="E17">
        <v>17500</v>
      </c>
      <c r="L17">
        <v>14875</v>
      </c>
      <c r="M17">
        <v>16187.5</v>
      </c>
    </row>
    <row r="18" spans="3:1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>
      <c r="C21" t="s">
        <v>573</v>
      </c>
      <c r="E21">
        <v>17500</v>
      </c>
      <c r="K21">
        <v>14000</v>
      </c>
      <c r="M21">
        <v>15750</v>
      </c>
    </row>
    <row r="22" spans="3:13">
      <c r="C22" t="s">
        <v>564</v>
      </c>
      <c r="E22">
        <v>15750</v>
      </c>
      <c r="J22">
        <v>15750</v>
      </c>
      <c r="M22">
        <v>15750</v>
      </c>
    </row>
    <row r="23" spans="3:13">
      <c r="C23" t="s">
        <v>401</v>
      </c>
      <c r="E23">
        <v>15750</v>
      </c>
      <c r="M23">
        <v>15750</v>
      </c>
    </row>
    <row r="24" spans="3:1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>
      <c r="C25" t="s">
        <v>561</v>
      </c>
      <c r="I25">
        <v>17325</v>
      </c>
      <c r="J25">
        <v>11725</v>
      </c>
      <c r="M25">
        <v>14525</v>
      </c>
    </row>
    <row r="26" spans="3:1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>
      <c r="C31" t="s">
        <v>432</v>
      </c>
      <c r="D31">
        <v>12425</v>
      </c>
      <c r="I31">
        <v>10500</v>
      </c>
      <c r="M31">
        <v>11462.5</v>
      </c>
    </row>
    <row r="32" spans="3:13">
      <c r="C32" t="s">
        <v>378</v>
      </c>
      <c r="I32">
        <v>7875</v>
      </c>
      <c r="J32">
        <v>14175</v>
      </c>
      <c r="M32">
        <v>11025</v>
      </c>
    </row>
    <row r="33" spans="3:13">
      <c r="C33" t="s">
        <v>439</v>
      </c>
      <c r="E33">
        <v>7000</v>
      </c>
      <c r="L33">
        <v>14875</v>
      </c>
      <c r="M33">
        <v>10937.5</v>
      </c>
    </row>
    <row r="34" spans="3:1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Ashwin Panbude</cp:lastModifiedBy>
  <cp:revision/>
  <dcterms:created xsi:type="dcterms:W3CDTF">2024-10-17T16:19:15Z</dcterms:created>
  <dcterms:modified xsi:type="dcterms:W3CDTF">2025-08-25T16:26:45Z</dcterms:modified>
  <cp:category>IRA Skills</cp:category>
  <cp:contentStatus/>
</cp:coreProperties>
</file>