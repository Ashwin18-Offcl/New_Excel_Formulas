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\Desktop\New Excel Formulas\"/>
    </mc:Choice>
  </mc:AlternateContent>
  <xr:revisionPtr revIDLastSave="0" documentId="13_ncr:1_{38756485-C1AB-4EF3-B4F9-999992538F60}" xr6:coauthVersionLast="47" xr6:coauthVersionMax="47" xr10:uidLastSave="{00000000-0000-0000-0000-000000000000}"/>
  <bookViews>
    <workbookView xWindow="-108" yWindow="-108" windowWidth="23256" windowHeight="13896" firstSheet="8" activeTab="15" xr2:uid="{A9018C92-EB48-4847-BDB6-6CCFA6011185}"/>
  </bookViews>
  <sheets>
    <sheet name="Date Value" sheetId="1" r:id="rId1"/>
    <sheet name="Days" sheetId="2" r:id="rId2"/>
    <sheet name="Days 360" sheetId="3" r:id="rId3"/>
    <sheet name="Edate" sheetId="4" r:id="rId4"/>
    <sheet name="EOMonth" sheetId="5" r:id="rId5"/>
    <sheet name="Isoweeknum" sheetId="6" r:id="rId6"/>
    <sheet name="WorkDay " sheetId="13" r:id="rId7"/>
    <sheet name="Networkdays" sheetId="7" r:id="rId8"/>
    <sheet name="Networkdays.INTL" sheetId="8" r:id="rId9"/>
    <sheet name="Time" sheetId="9" r:id="rId10"/>
    <sheet name="Timevalue" sheetId="10" r:id="rId11"/>
    <sheet name="Datevalue" sheetId="15" r:id="rId12"/>
    <sheet name="Weekday" sheetId="11" r:id="rId13"/>
    <sheet name="Weeknum" sheetId="12" r:id="rId14"/>
    <sheet name="Workday.INTL" sheetId="14" r:id="rId15"/>
    <sheet name="Sheet1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6" l="1"/>
  <c r="E7" i="16"/>
  <c r="E8" i="16"/>
  <c r="E9" i="16"/>
  <c r="E10" i="16"/>
  <c r="E11" i="16"/>
  <c r="E12" i="16"/>
  <c r="E13" i="16"/>
  <c r="E14" i="16"/>
  <c r="D6" i="16"/>
  <c r="D7" i="16"/>
  <c r="D8" i="16"/>
  <c r="D9" i="16"/>
  <c r="D10" i="16"/>
  <c r="D11" i="16"/>
  <c r="D12" i="16"/>
  <c r="D13" i="16"/>
  <c r="D14" i="16"/>
  <c r="E5" i="16"/>
  <c r="D5" i="16"/>
  <c r="D5" i="14"/>
  <c r="A72" i="14"/>
  <c r="A81" i="14"/>
  <c r="A91" i="14"/>
  <c r="A99" i="14"/>
  <c r="A107" i="14"/>
  <c r="A111" i="14"/>
  <c r="D4" i="14"/>
  <c r="A45" i="13"/>
  <c r="A55" i="13"/>
  <c r="A63" i="13"/>
  <c r="A73" i="13"/>
  <c r="C5" i="13"/>
  <c r="C6" i="13"/>
  <c r="C7" i="13"/>
  <c r="C8" i="13"/>
  <c r="C9" i="13"/>
  <c r="C10" i="13"/>
  <c r="C11" i="13"/>
  <c r="D4" i="13"/>
  <c r="C4" i="13"/>
  <c r="A61" i="12"/>
  <c r="A70" i="12"/>
  <c r="A79" i="12"/>
  <c r="A90" i="12"/>
  <c r="A98" i="12"/>
  <c r="C4" i="12"/>
  <c r="A48" i="11"/>
  <c r="A56" i="11"/>
  <c r="A64" i="11"/>
  <c r="A74" i="11"/>
  <c r="A110" i="11"/>
  <c r="B4" i="11"/>
  <c r="B6" i="15"/>
  <c r="B5" i="15"/>
  <c r="B4" i="15"/>
  <c r="B5" i="10"/>
  <c r="B4" i="10"/>
  <c r="D112" i="8"/>
  <c r="D120" i="8"/>
  <c r="D128" i="8"/>
  <c r="D136" i="8"/>
  <c r="D146" i="8"/>
  <c r="D154" i="8"/>
  <c r="B5" i="9"/>
  <c r="D2" i="8"/>
  <c r="A50" i="7"/>
  <c r="A61" i="7"/>
  <c r="A72" i="7"/>
  <c r="A80" i="7"/>
  <c r="A88" i="7"/>
  <c r="A96" i="7"/>
  <c r="D5" i="7"/>
  <c r="D6" i="7"/>
  <c r="D7" i="7"/>
  <c r="D8" i="7"/>
  <c r="D9" i="7"/>
  <c r="D10" i="7"/>
  <c r="D11" i="7"/>
  <c r="D12" i="7"/>
  <c r="D13" i="7"/>
  <c r="D14" i="7"/>
  <c r="D15" i="7"/>
  <c r="D4" i="7"/>
  <c r="E5" i="6"/>
  <c r="E6" i="6"/>
  <c r="E7" i="6"/>
  <c r="E4" i="6"/>
  <c r="A43" i="6"/>
  <c r="A54" i="6"/>
  <c r="A62" i="6"/>
  <c r="A70" i="6"/>
  <c r="A78" i="6"/>
  <c r="B4" i="4" l="1"/>
  <c r="A53" i="4"/>
  <c r="A61" i="4"/>
  <c r="A71" i="4"/>
  <c r="A81" i="4"/>
  <c r="A89" i="4"/>
  <c r="A99" i="4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A99" i="3" a="1"/>
  <c r="A99" i="3" s="1"/>
  <c r="C5" i="3"/>
  <c r="C4" i="3"/>
  <c r="A19" i="2" a="1"/>
  <c r="A19" i="2"/>
  <c r="A114" i="2"/>
  <c r="A118" i="2"/>
  <c r="A122" i="2" a="1"/>
  <c r="A122" i="2" s="1"/>
  <c r="A126" i="2"/>
  <c r="A130" i="2"/>
  <c r="C4" i="2"/>
  <c r="C5" i="1"/>
  <c r="A30" i="1" a="1"/>
  <c r="A30" i="1" s="1"/>
  <c r="B65" i="1"/>
  <c r="B66" i="1"/>
  <c r="B67" i="1"/>
  <c r="B68" i="1"/>
  <c r="B69" i="1"/>
  <c r="B70" i="1"/>
  <c r="B71" i="1"/>
  <c r="B72" i="1"/>
  <c r="B73" i="1"/>
  <c r="B74" i="1"/>
  <c r="B75" i="1"/>
  <c r="A96" i="1"/>
  <c r="A104" i="1"/>
  <c r="A112" i="1"/>
  <c r="A120" i="1"/>
  <c r="A130" i="1"/>
  <c r="A140" i="1"/>
  <c r="A150" i="1"/>
  <c r="A15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<sst xmlns="http://schemas.openxmlformats.org/spreadsheetml/2006/main" count="756" uniqueCount="659">
  <si>
    <r>
      <rPr>
        <b/>
        <sz val="16"/>
        <color rgb="FFFF0000"/>
        <rFont val="Aptos Narrow"/>
        <family val="2"/>
        <scheme val="minor"/>
      </rPr>
      <t>DATEVALUEN</t>
    </r>
    <r>
      <rPr>
        <b/>
        <sz val="16"/>
        <color theme="1"/>
        <rFont val="Aptos Narrow"/>
        <family val="2"/>
        <scheme val="minor"/>
      </rPr>
      <t xml:space="preserve">  Function In Excel</t>
    </r>
  </si>
  <si>
    <t>Date In Text</t>
  </si>
  <si>
    <t>Date value In Number</t>
  </si>
  <si>
    <t>✅ Definition</t>
  </si>
  <si>
    <r>
      <t xml:space="preserve">The </t>
    </r>
    <r>
      <rPr>
        <b/>
        <sz val="11"/>
        <color theme="1"/>
        <rFont val="Aptos Narrow"/>
        <family val="2"/>
        <scheme val="minor"/>
      </rPr>
      <t>DATEVALUE</t>
    </r>
    <r>
      <rPr>
        <sz val="11"/>
        <color theme="1"/>
        <rFont val="Aptos Narrow"/>
        <family val="2"/>
        <scheme val="minor"/>
      </rPr>
      <t xml:space="preserve"> function in Excel converts a </t>
    </r>
    <r>
      <rPr>
        <b/>
        <sz val="11"/>
        <color theme="1"/>
        <rFont val="Aptos Narrow"/>
        <family val="2"/>
        <scheme val="minor"/>
      </rPr>
      <t>text date</t>
    </r>
    <r>
      <rPr>
        <sz val="11"/>
        <color theme="1"/>
        <rFont val="Aptos Narrow"/>
        <family val="2"/>
        <scheme val="minor"/>
      </rPr>
      <t xml:space="preserve"> into an actual </t>
    </r>
    <r>
      <rPr>
        <b/>
        <sz val="11"/>
        <color theme="1"/>
        <rFont val="Aptos Narrow"/>
        <family val="2"/>
        <scheme val="minor"/>
      </rPr>
      <t>Excel serial number date</t>
    </r>
    <r>
      <rPr>
        <sz val="11"/>
        <color theme="1"/>
        <rFont val="Aptos Narrow"/>
        <family val="2"/>
        <scheme val="minor"/>
      </rPr>
      <t>.</t>
    </r>
  </si>
  <si>
    <r>
      <t xml:space="preserve">Excel stores dates as serial numbers (e.g., </t>
    </r>
    <r>
      <rPr>
        <b/>
        <sz val="11"/>
        <color theme="1"/>
        <rFont val="Aptos Narrow"/>
        <family val="2"/>
        <scheme val="minor"/>
      </rPr>
      <t>1 Jan 1900 = 1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2 Jan 1900 = 2</t>
    </r>
    <r>
      <rPr>
        <sz val="11"/>
        <color theme="1"/>
        <rFont val="Aptos Narrow"/>
        <family val="2"/>
        <scheme val="minor"/>
      </rPr>
      <t>).</t>
    </r>
  </si>
  <si>
    <t>This function is useful when a date is stored as text and cannot be used in calculations.</t>
  </si>
  <si>
    <t>✅ Syntax</t>
  </si>
  <si>
    <r>
      <t>date_text</t>
    </r>
    <r>
      <rPr>
        <sz val="11"/>
        <color theme="1"/>
        <rFont val="Aptos Narrow"/>
        <family val="2"/>
        <scheme val="minor"/>
      </rPr>
      <t xml:space="preserve"> → A valid date entered as text (must be in quotes or a cell reference containing date text).</t>
    </r>
  </si>
  <si>
    <t>✅ Features of DATEVALUE</t>
  </si>
  <si>
    <t>1. Converts text-formatted dates into valid Excel dates.</t>
  </si>
  <si>
    <r>
      <t xml:space="preserve">2. Returns a </t>
    </r>
    <r>
      <rPr>
        <b/>
        <sz val="11"/>
        <color theme="1"/>
        <rFont val="Aptos Narrow"/>
        <family val="2"/>
        <scheme val="minor"/>
      </rPr>
      <t>serial number</t>
    </r>
    <r>
      <rPr>
        <sz val="11"/>
        <color theme="1"/>
        <rFont val="Aptos Narrow"/>
        <family val="2"/>
        <scheme val="minor"/>
      </rPr>
      <t xml:space="preserve"> representing the date.</t>
    </r>
  </si>
  <si>
    <r>
      <t xml:space="preserve">3. Works with different regional date formats (like </t>
    </r>
    <r>
      <rPr>
        <sz val="10"/>
        <color theme="1"/>
        <rFont val="Arial Unicode MS"/>
      </rPr>
      <t>MM/DD/YYYY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DD/MM/YYYY</t>
    </r>
    <r>
      <rPr>
        <sz val="11"/>
        <color theme="1"/>
        <rFont val="Aptos Narrow"/>
        <family val="2"/>
        <scheme val="minor"/>
      </rPr>
      <t>).</t>
    </r>
  </si>
  <si>
    <r>
      <t xml:space="preserve">4. Compatible with </t>
    </r>
    <r>
      <rPr>
        <b/>
        <sz val="11"/>
        <color theme="1"/>
        <rFont val="Aptos Narrow"/>
        <family val="2"/>
        <scheme val="minor"/>
      </rPr>
      <t>time functions</t>
    </r>
    <r>
      <rPr>
        <sz val="11"/>
        <color theme="1"/>
        <rFont val="Aptos Narrow"/>
        <family val="2"/>
        <scheme val="minor"/>
      </rPr>
      <t xml:space="preserve"> when used with </t>
    </r>
    <r>
      <rPr>
        <sz val="10"/>
        <color theme="1"/>
        <rFont val="Arial Unicode MS"/>
      </rPr>
      <t>TIMEVALUE</t>
    </r>
    <r>
      <rPr>
        <sz val="11"/>
        <color theme="1"/>
        <rFont val="Aptos Narrow"/>
        <family val="2"/>
        <scheme val="minor"/>
      </rPr>
      <t>.</t>
    </r>
  </si>
  <si>
    <t>5. Helpful in data cleaning (when imported data shows dates as text).</t>
  </si>
  <si>
    <r>
      <t xml:space="preserve">6. Can be combined with functions like </t>
    </r>
    <r>
      <rPr>
        <sz val="10"/>
        <color theme="1"/>
        <rFont val="Arial Unicode MS"/>
      </rPr>
      <t>TEXT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LEFT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RIGHT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MID</t>
    </r>
    <r>
      <rPr>
        <sz val="11"/>
        <color theme="1"/>
        <rFont val="Aptos Narrow"/>
        <family val="2"/>
        <scheme val="minor"/>
      </rPr>
      <t>.</t>
    </r>
  </si>
  <si>
    <t>7. Supports date arithmetic (add/subtract days, months, years).</t>
  </si>
  <si>
    <r>
      <t xml:space="preserve">8. Returns </t>
    </r>
    <r>
      <rPr>
        <sz val="10"/>
        <color theme="1"/>
        <rFont val="Arial Unicode MS"/>
      </rPr>
      <t>#VALUE!</t>
    </r>
    <r>
      <rPr>
        <sz val="11"/>
        <color theme="1"/>
        <rFont val="Aptos Narrow"/>
        <family val="2"/>
        <scheme val="minor"/>
      </rPr>
      <t xml:space="preserve"> error if text is not a valid date.</t>
    </r>
  </si>
  <si>
    <t>9. Works with Excel’s default date system (starts from 1 Jan 1900 or 1904 depending on settings).</t>
  </si>
  <si>
    <r>
      <t xml:space="preserve">10. Useful in </t>
    </r>
    <r>
      <rPr>
        <b/>
        <sz val="11"/>
        <color theme="1"/>
        <rFont val="Aptos Narrow"/>
        <family val="2"/>
        <scheme val="minor"/>
      </rPr>
      <t>automation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dynamic reporting</t>
    </r>
    <r>
      <rPr>
        <sz val="11"/>
        <color theme="1"/>
        <rFont val="Aptos Narrow"/>
        <family val="2"/>
        <scheme val="minor"/>
      </rPr>
      <t>.</t>
    </r>
  </si>
  <si>
    <r>
      <t xml:space="preserve">Let’s say we are working in Excel where </t>
    </r>
    <r>
      <rPr>
        <b/>
        <sz val="11"/>
        <color theme="1"/>
        <rFont val="Aptos Narrow"/>
        <family val="2"/>
        <scheme val="minor"/>
      </rPr>
      <t>column A</t>
    </r>
    <r>
      <rPr>
        <sz val="11"/>
        <color theme="1"/>
        <rFont val="Aptos Narrow"/>
        <family val="2"/>
        <scheme val="minor"/>
      </rPr>
      <t xml:space="preserve"> contains text dates.</t>
    </r>
  </si>
  <si>
    <t>A (Date as Text)</t>
  </si>
  <si>
    <t>Formula</t>
  </si>
  <si>
    <t>Result (Serial No.)</t>
  </si>
  <si>
    <t>Formatted as Date</t>
  </si>
  <si>
    <t>"01/01/2024"</t>
  </si>
  <si>
    <t>"12/31/2023"</t>
  </si>
  <si>
    <t>"15-Aug-2025"</t>
  </si>
  <si>
    <t>"March 10, 2022"</t>
  </si>
  <si>
    <t>"2025-04-01"</t>
  </si>
  <si>
    <t>"7/4/2020"</t>
  </si>
  <si>
    <t>"2023/11/05"</t>
  </si>
  <si>
    <t>"21 Dec 2019"</t>
  </si>
  <si>
    <t>"February 29, 2024"</t>
  </si>
  <si>
    <t>"2025-08-20"</t>
  </si>
  <si>
    <t>"2026-01-01"</t>
  </si>
  <si>
    <t>🔹 1. Data Cleaning in Imported Files</t>
  </si>
  <si>
    <t>When importing data from text/CSV files, dates often appear as text.</t>
  </si>
  <si>
    <r>
      <t xml:space="preserve">👉 </t>
    </r>
    <r>
      <rPr>
        <sz val="10"/>
        <color theme="1"/>
        <rFont val="Arial Unicode MS"/>
      </rPr>
      <t>=DATEVALUE(A2)</t>
    </r>
    <r>
      <rPr>
        <sz val="11"/>
        <color theme="1"/>
        <rFont val="Aptos Narrow"/>
        <family val="2"/>
        <scheme val="minor"/>
      </rPr>
      <t xml:space="preserve"> converts them into real dates for calculations.</t>
    </r>
  </si>
  <si>
    <t>🔹 2. Sorting &amp; Filtering Dates</t>
  </si>
  <si>
    <t>If dates are stored as text, sorting won’t work correctly.</t>
  </si>
  <si>
    <r>
      <t xml:space="preserve">👉 Convert using </t>
    </r>
    <r>
      <rPr>
        <sz val="10"/>
        <color theme="1"/>
        <rFont val="Arial Unicode MS"/>
      </rPr>
      <t>DATEVALUE</t>
    </r>
    <r>
      <rPr>
        <sz val="11"/>
        <color theme="1"/>
        <rFont val="Aptos Narrow"/>
        <family val="2"/>
        <scheme val="minor"/>
      </rPr>
      <t xml:space="preserve"> → then sort chronologically.</t>
    </r>
  </si>
  <si>
    <t>🔹 3. Calculating Age</t>
  </si>
  <si>
    <t>👉 Returns the current age based on text-formatted date of birth.</t>
  </si>
  <si>
    <t>🔹 4. Finding Days Between Two Dates</t>
  </si>
  <si>
    <t>👉 Finds how many days passed since 1 Jan 2023.</t>
  </si>
  <si>
    <t>🔹 5. Extracting Month from Text Date</t>
  </si>
  <si>
    <r>
      <t xml:space="preserve">👉 Returns the month number (e.g., </t>
    </r>
    <r>
      <rPr>
        <sz val="10"/>
        <color theme="1"/>
        <rFont val="Arial Unicode MS"/>
      </rPr>
      <t>03</t>
    </r>
    <r>
      <rPr>
        <sz val="11"/>
        <color theme="1"/>
        <rFont val="Aptos Narrow"/>
        <family val="2"/>
        <scheme val="minor"/>
      </rPr>
      <t xml:space="preserve"> for March).</t>
    </r>
  </si>
  <si>
    <t>🔹 6. Extracting Year from Text Date</t>
  </si>
  <si>
    <r>
      <t xml:space="preserve">👉 Returns </t>
    </r>
    <r>
      <rPr>
        <sz val="10"/>
        <color theme="1"/>
        <rFont val="Arial Unicode MS"/>
      </rPr>
      <t>2025</t>
    </r>
    <r>
      <rPr>
        <sz val="11"/>
        <color theme="1"/>
        <rFont val="Aptos Narrow"/>
        <family val="2"/>
        <scheme val="minor"/>
      </rPr>
      <t>.</t>
    </r>
  </si>
  <si>
    <t>🔹 7. Dynamic Reporting</t>
  </si>
  <si>
    <r>
      <t xml:space="preserve">If user types </t>
    </r>
    <r>
      <rPr>
        <sz val="10"/>
        <color theme="1"/>
        <rFont val="Arial Unicode MS"/>
      </rPr>
      <t>"2025-12-31"</t>
    </r>
    <r>
      <rPr>
        <sz val="11"/>
        <color theme="1"/>
        <rFont val="Aptos Narrow"/>
        <family val="2"/>
        <scheme val="minor"/>
      </rPr>
      <t xml:space="preserve"> in a cell:</t>
    </r>
  </si>
  <si>
    <r>
      <t xml:space="preserve">👉 Classifies dates as </t>
    </r>
    <r>
      <rPr>
        <b/>
        <sz val="11"/>
        <color theme="1"/>
        <rFont val="Aptos Narrow"/>
        <family val="2"/>
        <scheme val="minor"/>
      </rPr>
      <t>Past/Future</t>
    </r>
    <r>
      <rPr>
        <sz val="11"/>
        <color theme="1"/>
        <rFont val="Aptos Narrow"/>
        <family val="2"/>
        <scheme val="minor"/>
      </rPr>
      <t>.</t>
    </r>
  </si>
  <si>
    <t>🔹 8. Combining with Text Functions</t>
  </si>
  <si>
    <r>
      <t xml:space="preserve">If you have </t>
    </r>
    <r>
      <rPr>
        <sz val="10"/>
        <color theme="1"/>
        <rFont val="Arial Unicode MS"/>
      </rPr>
      <t>2025/12/25</t>
    </r>
    <r>
      <rPr>
        <sz val="11"/>
        <color theme="1"/>
        <rFont val="Aptos Narrow"/>
        <family val="2"/>
        <scheme val="minor"/>
      </rPr>
      <t xml:space="preserve"> stored as text but in different format:</t>
    </r>
  </si>
  <si>
    <t>👉 Converts customized text into valid date.</t>
  </si>
  <si>
    <t>🔹 9. Holiday Calendar Check</t>
  </si>
  <si>
    <t>If you maintain a holiday list in text format:</t>
  </si>
  <si>
    <t>🔹 10. Project Deadline Calculation</t>
  </si>
  <si>
    <r>
      <t xml:space="preserve">👉 If project start date is in </t>
    </r>
    <r>
      <rPr>
        <b/>
        <sz val="11"/>
        <color theme="1"/>
        <rFont val="Aptos Narrow"/>
        <family val="2"/>
        <scheme val="minor"/>
      </rPr>
      <t>text format</t>
    </r>
    <r>
      <rPr>
        <sz val="11"/>
        <color theme="1"/>
        <rFont val="Aptos Narrow"/>
        <family val="2"/>
        <scheme val="minor"/>
      </rPr>
      <t xml:space="preserve">, adds </t>
    </r>
    <r>
      <rPr>
        <b/>
        <sz val="11"/>
        <color theme="1"/>
        <rFont val="Aptos Narrow"/>
        <family val="2"/>
        <scheme val="minor"/>
      </rPr>
      <t>30 days</t>
    </r>
    <r>
      <rPr>
        <sz val="11"/>
        <color theme="1"/>
        <rFont val="Aptos Narrow"/>
        <family val="2"/>
        <scheme val="minor"/>
      </rPr>
      <t xml:space="preserve"> to find deadline.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</si>
  <si>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Summary: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</si>
  <si>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DATEVALUE function</t>
    </r>
    <r>
      <rPr>
        <sz val="11"/>
        <color theme="1"/>
        <rFont val="Aptos Narrow"/>
        <family val="2"/>
        <scheme val="minor"/>
      </rPr>
      <t xml:space="preserve"> is extremely useful in cleaning, transforming, and analyzing data where dates are stored as text. It ensures accuracy in calculations, reporting, and automations involving dates.</t>
    </r>
  </si>
  <si>
    <r>
      <t xml:space="preserve">Would you like me to also create a </t>
    </r>
    <r>
      <rPr>
        <b/>
        <sz val="11"/>
        <color theme="1"/>
        <rFont val="Aptos Narrow"/>
        <family val="2"/>
        <scheme val="minor"/>
      </rPr>
      <t>practice Excel sheet (XLSX file with 20+ solved DATEVALUE examples + exercises)</t>
    </r>
    <r>
      <rPr>
        <sz val="11"/>
        <color theme="1"/>
        <rFont val="Aptos Narrow"/>
        <family val="2"/>
        <scheme val="minor"/>
      </rPr>
      <t xml:space="preserve"> so you can directly work on it?</t>
    </r>
  </si>
  <si>
    <t xml:space="preserve"> DATEVALUE Function in Excel</t>
  </si>
  <si>
    <r>
      <t xml:space="preserve"> </t>
    </r>
    <r>
      <rPr>
        <b/>
        <sz val="11"/>
        <color theme="1"/>
        <rFont val="Aptos Narrow"/>
        <family val="2"/>
        <scheme val="minor"/>
      </rPr>
      <t xml:space="preserve">DATEVALUE </t>
    </r>
  </si>
  <si>
    <t>Only text format applied dates on work this formula</t>
  </si>
  <si>
    <t xml:space="preserve"> Use Cases of DATEVALUE</t>
  </si>
  <si>
    <t xml:space="preserve"> Examples of DATEVALUE Function</t>
  </si>
  <si>
    <t>No work updated versions</t>
  </si>
  <si>
    <r>
      <rPr>
        <b/>
        <sz val="18"/>
        <color theme="6"/>
        <rFont val="Aptos Narrow"/>
        <family val="2"/>
        <scheme val="minor"/>
      </rPr>
      <t>Days</t>
    </r>
    <r>
      <rPr>
        <b/>
        <sz val="18"/>
        <color theme="1"/>
        <rFont val="Aptos Narrow"/>
        <family val="2"/>
        <scheme val="minor"/>
      </rPr>
      <t xml:space="preserve"> Function In Excel</t>
    </r>
  </si>
  <si>
    <t>End_Date</t>
  </si>
  <si>
    <t>Start_Date</t>
  </si>
  <si>
    <t>Days</t>
  </si>
  <si>
    <t>This formula only calculate between start and end date between days</t>
  </si>
  <si>
    <r>
      <rPr>
        <b/>
        <sz val="16"/>
        <color rgb="FFFF0000"/>
        <rFont val="Aptos Narrow"/>
        <family val="2"/>
        <scheme val="minor"/>
      </rPr>
      <t>DAY360</t>
    </r>
    <r>
      <rPr>
        <b/>
        <sz val="16"/>
        <color theme="1"/>
        <rFont val="Aptos Narrow"/>
        <family val="2"/>
        <scheme val="minor"/>
      </rPr>
      <t xml:space="preserve"> Function In Excel</t>
    </r>
  </si>
  <si>
    <t>DAYS</t>
  </si>
  <si>
    <r>
      <t>DAYS</t>
    </r>
    <r>
      <rPr>
        <sz val="11"/>
        <color theme="1"/>
        <rFont val="Aptos Narrow"/>
        <family val="2"/>
        <scheme val="minor"/>
      </rPr>
      <t xml:space="preserve"> returns the number of days between two dates:</t>
    </r>
  </si>
  <si>
    <r>
      <t>end_date</t>
    </r>
    <r>
      <rPr>
        <sz val="11"/>
        <color theme="1"/>
        <rFont val="Aptos Narrow"/>
        <family val="2"/>
        <scheme val="minor"/>
      </rPr>
      <t>: the later date (usually).</t>
    </r>
  </si>
  <si>
    <r>
      <t>start_date</t>
    </r>
    <r>
      <rPr>
        <sz val="11"/>
        <color theme="1"/>
        <rFont val="Aptos Narrow"/>
        <family val="2"/>
        <scheme val="minor"/>
      </rPr>
      <t>: the earlier date (usually).</t>
    </r>
  </si>
  <si>
    <r>
      <t xml:space="preserve">It’s basically </t>
    </r>
    <r>
      <rPr>
        <sz val="10"/>
        <color theme="1"/>
        <rFont val="Arial Unicode MS"/>
      </rPr>
      <t>end_date − start_date</t>
    </r>
    <r>
      <rPr>
        <sz val="11"/>
        <color theme="1"/>
        <rFont val="Aptos Narrow"/>
        <family val="2"/>
        <scheme val="minor"/>
      </rPr>
      <t>, purpose-built for dates. It accepts real dates, date-serials, or valid text dates.</t>
    </r>
  </si>
  <si>
    <r>
      <t>1. Simple difference</t>
    </r>
    <r>
      <rPr>
        <sz val="11"/>
        <color theme="1"/>
        <rFont val="Aptos Narrow"/>
        <family val="2"/>
        <scheme val="minor"/>
      </rPr>
      <t>: Returns whole days between two dates (</t>
    </r>
    <r>
      <rPr>
        <sz val="10"/>
        <color theme="1"/>
        <rFont val="Arial Unicode MS"/>
      </rPr>
      <t>end − start</t>
    </r>
    <r>
      <rPr>
        <sz val="11"/>
        <color theme="1"/>
        <rFont val="Aptos Narrow"/>
        <family val="2"/>
        <scheme val="minor"/>
      </rPr>
      <t>).</t>
    </r>
  </si>
  <si>
    <r>
      <t>2. Time ignored</t>
    </r>
    <r>
      <rPr>
        <sz val="11"/>
        <color theme="1"/>
        <rFont val="Aptos Narrow"/>
        <family val="2"/>
        <scheme val="minor"/>
      </rPr>
      <t xml:space="preserve">: If a cell has a date-time, </t>
    </r>
    <r>
      <rPr>
        <sz val="10"/>
        <color theme="1"/>
        <rFont val="Arial Unicode MS"/>
      </rPr>
      <t>DAYS</t>
    </r>
    <r>
      <rPr>
        <sz val="11"/>
        <color theme="1"/>
        <rFont val="Aptos Narrow"/>
        <family val="2"/>
        <scheme val="minor"/>
      </rPr>
      <t xml:space="preserve"> ignores the time portion.</t>
    </r>
  </si>
  <si>
    <r>
      <t>3. Text dates allowed</t>
    </r>
    <r>
      <rPr>
        <sz val="11"/>
        <color theme="1"/>
        <rFont val="Aptos Narrow"/>
        <family val="2"/>
        <scheme val="minor"/>
      </rPr>
      <t xml:space="preserve">: Works with valid date text like </t>
    </r>
    <r>
      <rPr>
        <sz val="10"/>
        <color theme="1"/>
        <rFont val="Arial Unicode MS"/>
      </rPr>
      <t>"20-Aug-2025"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"2025-08-20"</t>
    </r>
    <r>
      <rPr>
        <sz val="11"/>
        <color theme="1"/>
        <rFont val="Aptos Narrow"/>
        <family val="2"/>
        <scheme val="minor"/>
      </rPr>
      <t>.</t>
    </r>
  </si>
  <si>
    <r>
      <t>4. Negative results</t>
    </r>
    <r>
      <rPr>
        <sz val="11"/>
        <color theme="1"/>
        <rFont val="Aptos Narrow"/>
        <family val="2"/>
        <scheme val="minor"/>
      </rPr>
      <t xml:space="preserve">: If </t>
    </r>
    <r>
      <rPr>
        <sz val="10"/>
        <color theme="1"/>
        <rFont val="Arial Unicode MS"/>
      </rPr>
      <t>end_date &lt; start_date</t>
    </r>
    <r>
      <rPr>
        <sz val="11"/>
        <color theme="1"/>
        <rFont val="Aptos Narrow"/>
        <family val="2"/>
        <scheme val="minor"/>
      </rPr>
      <t>, result is negative.</t>
    </r>
  </si>
  <si>
    <r>
      <t>5. Leap-year aware</t>
    </r>
    <r>
      <rPr>
        <sz val="11"/>
        <color theme="1"/>
        <rFont val="Aptos Narrow"/>
        <family val="2"/>
        <scheme val="minor"/>
      </rPr>
      <t>: Correctly counts Feb 29 in leap years.</t>
    </r>
  </si>
  <si>
    <r>
      <t>6. Safer than raw subtraction with text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</rPr>
      <t>DAYS</t>
    </r>
    <r>
      <rPr>
        <sz val="11"/>
        <color theme="1"/>
        <rFont val="Aptos Narrow"/>
        <family val="2"/>
        <scheme val="minor"/>
      </rPr>
      <t xml:space="preserve"> can parse text dates; </t>
    </r>
    <r>
      <rPr>
        <sz val="10"/>
        <color theme="1"/>
        <rFont val="Arial Unicode MS"/>
      </rPr>
      <t>end−start</t>
    </r>
    <r>
      <rPr>
        <sz val="11"/>
        <color theme="1"/>
        <rFont val="Aptos Narrow"/>
        <family val="2"/>
        <scheme val="minor"/>
      </rPr>
      <t xml:space="preserve"> cannot.</t>
    </r>
  </si>
  <si>
    <r>
      <t>7. Locale tip</t>
    </r>
    <r>
      <rPr>
        <sz val="11"/>
        <color theme="1"/>
        <rFont val="Aptos Narrow"/>
        <family val="2"/>
        <scheme val="minor"/>
      </rPr>
      <t xml:space="preserve">: To avoid </t>
    </r>
    <r>
      <rPr>
        <sz val="10"/>
        <color theme="1"/>
        <rFont val="Arial Unicode MS"/>
      </rPr>
      <t>DD/MM</t>
    </r>
    <r>
      <rPr>
        <sz val="11"/>
        <color theme="1"/>
        <rFont val="Aptos Narrow"/>
        <family val="2"/>
        <scheme val="minor"/>
      </rPr>
      <t xml:space="preserve"> vs </t>
    </r>
    <r>
      <rPr>
        <sz val="10"/>
        <color theme="1"/>
        <rFont val="Arial Unicode MS"/>
      </rPr>
      <t>MM/DD</t>
    </r>
    <r>
      <rPr>
        <sz val="11"/>
        <color theme="1"/>
        <rFont val="Aptos Narrow"/>
        <family val="2"/>
        <scheme val="minor"/>
      </rPr>
      <t xml:space="preserve"> confusion, prefer </t>
    </r>
    <r>
      <rPr>
        <sz val="10"/>
        <color theme="1"/>
        <rFont val="Arial Unicode MS"/>
      </rPr>
      <t>DATE(year, month, day)</t>
    </r>
    <r>
      <rPr>
        <sz val="11"/>
        <color theme="1"/>
        <rFont val="Aptos Narrow"/>
        <family val="2"/>
        <scheme val="minor"/>
      </rPr>
      <t>.</t>
    </r>
  </si>
  <si>
    <r>
      <t>8. Error behavior</t>
    </r>
    <r>
      <rPr>
        <sz val="11"/>
        <color theme="1"/>
        <rFont val="Aptos Narrow"/>
        <family val="2"/>
        <scheme val="minor"/>
      </rPr>
      <t xml:space="preserve">: Invalid dates → </t>
    </r>
    <r>
      <rPr>
        <sz val="10"/>
        <color theme="1"/>
        <rFont val="Arial Unicode MS"/>
      </rPr>
      <t>#VALUE!</t>
    </r>
    <r>
      <rPr>
        <sz val="11"/>
        <color theme="1"/>
        <rFont val="Aptos Narrow"/>
        <family val="2"/>
        <scheme val="minor"/>
      </rPr>
      <t xml:space="preserve">. Wrap with </t>
    </r>
    <r>
      <rPr>
        <sz val="10"/>
        <color theme="1"/>
        <rFont val="Arial Unicode MS"/>
      </rPr>
      <t>IFERROR</t>
    </r>
    <r>
      <rPr>
        <sz val="11"/>
        <color theme="1"/>
        <rFont val="Aptos Narrow"/>
        <family val="2"/>
        <scheme val="minor"/>
      </rPr>
      <t xml:space="preserve"> if needed.</t>
    </r>
  </si>
  <si>
    <r>
      <t>9. Workbook date system</t>
    </r>
    <r>
      <rPr>
        <sz val="11"/>
        <color theme="1"/>
        <rFont val="Aptos Narrow"/>
        <family val="2"/>
        <scheme val="minor"/>
      </rPr>
      <t>: Uses your workbook’s date system (1900/1904). Keep consistent across files.</t>
    </r>
  </si>
  <si>
    <r>
      <t>10. Dynamic friendly</t>
    </r>
    <r>
      <rPr>
        <sz val="11"/>
        <color theme="1"/>
        <rFont val="Aptos Narrow"/>
        <family val="2"/>
        <scheme val="minor"/>
      </rPr>
      <t xml:space="preserve">: Works great with </t>
    </r>
    <r>
      <rPr>
        <sz val="10"/>
        <color theme="1"/>
        <rFont val="Arial Unicode MS"/>
      </rPr>
      <t>TODAY()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EOMONTH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DATEVALUE</t>
    </r>
    <r>
      <rPr>
        <sz val="11"/>
        <color theme="1"/>
        <rFont val="Aptos Narrow"/>
        <family val="2"/>
        <scheme val="minor"/>
      </rPr>
      <t>, etc.</t>
    </r>
  </si>
  <si>
    <r>
      <t>DON’T mix up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</rPr>
      <t>DAYS</t>
    </r>
    <r>
      <rPr>
        <sz val="11"/>
        <color theme="1"/>
        <rFont val="Aptos Narrow"/>
        <family val="2"/>
        <scheme val="minor"/>
      </rPr>
      <t xml:space="preserve"> (difference) vs </t>
    </r>
    <r>
      <rPr>
        <sz val="10"/>
        <color theme="1"/>
        <rFont val="Arial Unicode MS"/>
      </rPr>
      <t>DAY</t>
    </r>
    <r>
      <rPr>
        <sz val="11"/>
        <color theme="1"/>
        <rFont val="Aptos Narrow"/>
        <family val="2"/>
        <scheme val="minor"/>
      </rPr>
      <t xml:space="preserve"> (day-of-month 1–31) vs </t>
    </r>
    <r>
      <rPr>
        <sz val="10"/>
        <color theme="1"/>
        <rFont val="Arial Unicode MS"/>
      </rPr>
      <t>DATEDIF</t>
    </r>
    <r>
      <rPr>
        <sz val="11"/>
        <color theme="1"/>
        <rFont val="Aptos Narrow"/>
        <family val="2"/>
        <scheme val="minor"/>
      </rPr>
      <t xml:space="preserve"> (older, with units like </t>
    </r>
    <r>
      <rPr>
        <sz val="10"/>
        <color theme="1"/>
        <rFont val="Arial Unicode MS"/>
      </rPr>
      <t>"d"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"m"</t>
    </r>
    <r>
      <rPr>
        <sz val="11"/>
        <color theme="1"/>
        <rFont val="Aptos Narrow"/>
        <family val="2"/>
        <scheme val="minor"/>
      </rPr>
      <t xml:space="preserve">, etc.) vs </t>
    </r>
    <r>
      <rPr>
        <sz val="10"/>
        <color theme="1"/>
        <rFont val="Arial Unicode MS"/>
      </rPr>
      <t>NETWORKDAYS</t>
    </r>
    <r>
      <rPr>
        <sz val="11"/>
        <color theme="1"/>
        <rFont val="Aptos Narrow"/>
        <family val="2"/>
        <scheme val="minor"/>
      </rPr>
      <t xml:space="preserve"> (working days).</t>
    </r>
  </si>
  <si>
    <r>
      <t xml:space="preserve">In examples, results are shown to help you verify. “Inclusive count” note: if you want to include both start and end dates, add </t>
    </r>
    <r>
      <rPr>
        <sz val="10"/>
        <color theme="1"/>
        <rFont val="Arial Unicode MS"/>
      </rPr>
      <t>+1</t>
    </r>
    <r>
      <rPr>
        <sz val="11"/>
        <color theme="1"/>
        <rFont val="Aptos Narrow"/>
        <family val="2"/>
        <scheme val="minor"/>
      </rPr>
      <t xml:space="preserve"> to the result.</t>
    </r>
  </si>
  <si>
    <t>1. Basic difference</t>
  </si>
  <si>
    <t>=DAYS("20-Aug-2025","15-Aug-2025")   → 5</t>
  </si>
  <si>
    <t>2. Use reliable DATE() to avoid locale issues</t>
  </si>
  <si>
    <t>=DAYS(DATE(2025,8,20), DATE(2025,1,1))   → 231</t>
  </si>
  <si>
    <t>3. Days since a given date (e.g., FY start in India: 1-Apr-2025)</t>
  </si>
  <si>
    <t>=DAYS(TODAY(), DATE(2025,4,1))   → 141</t>
  </si>
  <si>
    <t>4. Days left in the year</t>
  </si>
  <si>
    <t>=DAYS(DATE(2025,12,31), TODAY())   → 133</t>
  </si>
  <si>
    <t>5. Full fiscal year (exclusive vs inclusive)</t>
  </si>
  <si>
    <t>=DAYS("31-Mar-2026","01-Apr-2025")   → 364     // exclusive</t>
  </si>
  <si>
    <t>=DAYS("31-Mar-2026","01-Apr-2025")+1 → 365     // inclusive</t>
  </si>
  <si>
    <t>6. Negative result when end &lt; start</t>
  </si>
  <si>
    <t>=DAYS(DATE(2025,8,20), DATE(2025,8,25))   → -5</t>
  </si>
  <si>
    <t>7. Time values are ignored</t>
  </si>
  <si>
    <t>=DAYS(DATEVALUE("20-Aug-2025 23:59"), DATEVALUE("19-Aug-2025 00:01"))  → 1</t>
  </si>
  <si>
    <t>8. Days left in the current month</t>
  </si>
  <si>
    <t>=DAYS(EOMONTH(TODAY(),0), TODAY())   → 11</t>
  </si>
  <si>
    <t>9. Next billing date (15-Sep-2025)</t>
  </si>
  <si>
    <t>=DAYS(DATE(2025,9,15), TODAY())   → 26</t>
  </si>
  <si>
    <t>10. Days so far in the current quarter (Q2 FY26 in India; Q3 CY25)</t>
  </si>
  <si>
    <t>=DAYS(TODAY(), DATE(2025,7,1))   → 50</t>
  </si>
  <si>
    <t>11. Leap year check (Feb 2024 has 29 days)</t>
  </si>
  <si>
    <t>=DAYS(DATE(2024,3,1), DATE(2024,2,1))   → 29</t>
  </si>
  <si>
    <t>12. ISO text dates are safe</t>
  </si>
  <si>
    <t>=DAYS("2025-08-20","2025-01-15")   → 217</t>
  </si>
  <si>
    <t>13. From text dates in cells (A2=“01-Apr-2025”, B2=“31-Mar-2026”)</t>
  </si>
  <si>
    <t>=DAYS(B2, A2)   → 364</t>
  </si>
  <si>
    <t>14. When text date format is mixed: normalize with DATEVALUE</t>
  </si>
  <si>
    <t>15. Days between order &amp; delivery (B2=OrderDate, C2=DeliveryDate)</t>
  </si>
  <si>
    <t>16. Days overdue (never negative)</t>
  </si>
  <si>
    <t>17. Guard against bad inputs</t>
  </si>
  <si>
    <t>18. Rolling window: last 30 days?</t>
  </si>
  <si>
    <r>
      <t>Aging analysis</t>
    </r>
    <r>
      <rPr>
        <sz val="11"/>
        <color theme="1"/>
        <rFont val="Aptos Narrow"/>
        <family val="2"/>
        <scheme val="minor"/>
      </rPr>
      <t>: Number of days invoices are outstanding (</t>
    </r>
    <r>
      <rPr>
        <sz val="10"/>
        <color theme="1"/>
        <rFont val="Arial Unicode MS"/>
      </rPr>
      <t>DAYS(TODAY(), InvoiceDate)</t>
    </r>
    <r>
      <rPr>
        <sz val="11"/>
        <color theme="1"/>
        <rFont val="Aptos Narrow"/>
        <family val="2"/>
        <scheme val="minor"/>
      </rPr>
      <t xml:space="preserve">), then bucket with </t>
    </r>
    <r>
      <rPr>
        <sz val="10"/>
        <color theme="1"/>
        <rFont val="Arial Unicode MS"/>
      </rPr>
      <t>IFS</t>
    </r>
    <r>
      <rPr>
        <sz val="11"/>
        <color theme="1"/>
        <rFont val="Aptos Narrow"/>
        <family val="2"/>
        <scheme val="minor"/>
      </rPr>
      <t>.</t>
    </r>
  </si>
  <si>
    <r>
      <t>SLA tracking</t>
    </r>
    <r>
      <rPr>
        <sz val="11"/>
        <color theme="1"/>
        <rFont val="Aptos Narrow"/>
        <family val="2"/>
        <scheme val="minor"/>
      </rPr>
      <t>: Days taken to resolve tickets (</t>
    </r>
    <r>
      <rPr>
        <sz val="10"/>
        <color theme="1"/>
        <rFont val="Arial Unicode MS"/>
      </rPr>
      <t>DAYS(ResolvedOn, CreatedOn)</t>
    </r>
    <r>
      <rPr>
        <sz val="11"/>
        <color theme="1"/>
        <rFont val="Aptos Narrow"/>
        <family val="2"/>
        <scheme val="minor"/>
      </rPr>
      <t>).</t>
    </r>
  </si>
  <si>
    <r>
      <t>Project durations</t>
    </r>
    <r>
      <rPr>
        <sz val="11"/>
        <color theme="1"/>
        <rFont val="Aptos Narrow"/>
        <family val="2"/>
        <scheme val="minor"/>
      </rPr>
      <t>: Task duration in days from start to end; Gantt formulas.</t>
    </r>
  </si>
  <si>
    <r>
      <t>Churn &amp; retention</t>
    </r>
    <r>
      <rPr>
        <sz val="11"/>
        <color theme="1"/>
        <rFont val="Aptos Narrow"/>
        <family val="2"/>
        <scheme val="minor"/>
      </rPr>
      <t>: Days since last purchase/visit (</t>
    </r>
    <r>
      <rPr>
        <sz val="10"/>
        <color theme="1"/>
        <rFont val="Arial Unicode MS"/>
      </rPr>
      <t>DAYS(TODAY(), LastPurchase)</t>
    </r>
    <r>
      <rPr>
        <sz val="11"/>
        <color theme="1"/>
        <rFont val="Aptos Narrow"/>
        <family val="2"/>
        <scheme val="minor"/>
      </rPr>
      <t>).</t>
    </r>
  </si>
  <si>
    <r>
      <t>Compliance deadlines</t>
    </r>
    <r>
      <rPr>
        <sz val="11"/>
        <color theme="1"/>
        <rFont val="Aptos Narrow"/>
        <family val="2"/>
        <scheme val="minor"/>
      </rPr>
      <t>: Days until due dates; flag overdue items.</t>
    </r>
  </si>
  <si>
    <r>
      <t>Hiring metrics</t>
    </r>
    <r>
      <rPr>
        <sz val="11"/>
        <color theme="1"/>
        <rFont val="Aptos Narrow"/>
        <family val="2"/>
        <scheme val="minor"/>
      </rPr>
      <t>: Time-to-fill (offer date – requisition date).</t>
    </r>
  </si>
  <si>
    <r>
      <t>Inventory KPI</t>
    </r>
    <r>
      <rPr>
        <sz val="11"/>
        <color theme="1"/>
        <rFont val="Aptos Narrow"/>
        <family val="2"/>
        <scheme val="minor"/>
      </rPr>
      <t>: Days between receipt and issue for lots/batches.</t>
    </r>
  </si>
  <si>
    <r>
      <t>Education/admin</t>
    </r>
    <r>
      <rPr>
        <sz val="11"/>
        <color theme="1"/>
        <rFont val="Aptos Narrow"/>
        <family val="2"/>
        <scheme val="minor"/>
      </rPr>
      <t>: Days left till exam/semester end; attendance span calculations.</t>
    </r>
  </si>
  <si>
    <r>
      <t>Finance</t>
    </r>
    <r>
      <rPr>
        <sz val="11"/>
        <color theme="1"/>
        <rFont val="Aptos Narrow"/>
        <family val="2"/>
        <scheme val="minor"/>
      </rPr>
      <t>: Days between value date and settlement; coupon/spreadsheet checks (for simple day counts).</t>
    </r>
  </si>
  <si>
    <r>
      <t>Operations</t>
    </r>
    <r>
      <rPr>
        <sz val="11"/>
        <color theme="1"/>
        <rFont val="Aptos Narrow"/>
        <family val="2"/>
        <scheme val="minor"/>
      </rPr>
      <t>: Days between shipment and delivery for carrier performance.</t>
    </r>
  </si>
  <si>
    <r>
      <t>DAYS(end,start)</t>
    </r>
    <r>
      <rPr>
        <sz val="11"/>
        <color theme="1"/>
        <rFont val="Aptos Narrow"/>
        <family val="2"/>
        <scheme val="minor"/>
      </rPr>
      <t>: Calendar days (ignores time).</t>
    </r>
  </si>
  <si>
    <r>
      <t>end − start</t>
    </r>
    <r>
      <rPr>
        <sz val="11"/>
        <color theme="1"/>
        <rFont val="Aptos Narrow"/>
        <family val="2"/>
        <scheme val="minor"/>
      </rPr>
      <t>: Works for true dates; fails with text dates; less readable.</t>
    </r>
  </si>
  <si>
    <r>
      <t>DATEDIF(start,end,"d")</t>
    </r>
    <r>
      <rPr>
        <sz val="11"/>
        <color theme="1"/>
        <rFont val="Aptos Narrow"/>
        <family val="2"/>
        <scheme val="minor"/>
      </rPr>
      <t>: Also calendar days; older/hidden; supports months/years.</t>
    </r>
  </si>
  <si>
    <r>
      <t>NETWORKDAYS(start,end[,holidays])</t>
    </r>
    <r>
      <rPr>
        <sz val="11"/>
        <color theme="1"/>
        <rFont val="Aptos Narrow"/>
        <family val="2"/>
        <scheme val="minor"/>
      </rPr>
      <t>: Working days (Mon–Fri) only.</t>
    </r>
  </si>
  <si>
    <r>
      <t>DAY(date)</t>
    </r>
    <r>
      <rPr>
        <sz val="11"/>
        <color theme="1"/>
        <rFont val="Aptos Narrow"/>
        <family val="2"/>
        <scheme val="minor"/>
      </rPr>
      <t>: Returns day-of-month (1–31), not a difference.</t>
    </r>
  </si>
  <si>
    <r>
      <t xml:space="preserve">Prefer </t>
    </r>
    <r>
      <rPr>
        <sz val="10"/>
        <color theme="1"/>
        <rFont val="Arial Unicode MS"/>
      </rPr>
      <t>DATE(y,m,d)</t>
    </r>
    <r>
      <rPr>
        <sz val="11"/>
        <color theme="1"/>
        <rFont val="Aptos Narrow"/>
        <family val="2"/>
        <scheme val="minor"/>
      </rPr>
      <t xml:space="preserve"> or ISO text </t>
    </r>
    <r>
      <rPr>
        <sz val="10"/>
        <color theme="1"/>
        <rFont val="Arial Unicode MS"/>
      </rPr>
      <t>"YYYY-MM-DD"</t>
    </r>
    <r>
      <rPr>
        <sz val="11"/>
        <color theme="1"/>
        <rFont val="Aptos Narrow"/>
        <family val="2"/>
        <scheme val="minor"/>
      </rPr>
      <t xml:space="preserve"> in formulas—avoids locale mix-ups.</t>
    </r>
  </si>
  <si>
    <r>
      <t xml:space="preserve">If you need </t>
    </r>
    <r>
      <rPr>
        <b/>
        <sz val="11"/>
        <color theme="1"/>
        <rFont val="Aptos Narrow"/>
        <family val="2"/>
        <scheme val="minor"/>
      </rPr>
      <t>inclusive</t>
    </r>
    <r>
      <rPr>
        <sz val="11"/>
        <color theme="1"/>
        <rFont val="Aptos Narrow"/>
        <family val="2"/>
        <scheme val="minor"/>
      </rPr>
      <t xml:space="preserve"> counts (count both start and end), add </t>
    </r>
    <r>
      <rPr>
        <sz val="10"/>
        <color theme="1"/>
        <rFont val="Arial Unicode MS"/>
      </rPr>
      <t>+1</t>
    </r>
    <r>
      <rPr>
        <sz val="11"/>
        <color theme="1"/>
        <rFont val="Aptos Narrow"/>
        <family val="2"/>
        <scheme val="minor"/>
      </rPr>
      <t>.</t>
    </r>
  </si>
  <si>
    <r>
      <t>Two-digit years can be ambiguous; use four digits (</t>
    </r>
    <r>
      <rPr>
        <sz val="10"/>
        <color theme="1"/>
        <rFont val="Arial Unicode MS"/>
      </rPr>
      <t>2025</t>
    </r>
    <r>
      <rPr>
        <sz val="11"/>
        <color theme="1"/>
        <rFont val="Aptos Narrow"/>
        <family val="2"/>
        <scheme val="minor"/>
      </rPr>
      <t>).</t>
    </r>
  </si>
  <si>
    <r>
      <t xml:space="preserve">If you import CSV and dates are </t>
    </r>
    <r>
      <rPr>
        <b/>
        <sz val="11"/>
        <color theme="1"/>
        <rFont val="Aptos Narrow"/>
        <family val="2"/>
        <scheme val="minor"/>
      </rPr>
      <t>text</t>
    </r>
    <r>
      <rPr>
        <sz val="11"/>
        <color theme="1"/>
        <rFont val="Aptos Narrow"/>
        <family val="2"/>
        <scheme val="minor"/>
      </rPr>
      <t xml:space="preserve">, wrap with </t>
    </r>
    <r>
      <rPr>
        <sz val="10"/>
        <color theme="1"/>
        <rFont val="Arial Unicode MS"/>
      </rPr>
      <t>DATEVALUE</t>
    </r>
    <r>
      <rPr>
        <sz val="11"/>
        <color theme="1"/>
        <rFont val="Aptos Narrow"/>
        <family val="2"/>
        <scheme val="minor"/>
      </rPr>
      <t xml:space="preserve"> first.</t>
    </r>
  </si>
  <si>
    <r>
      <t xml:space="preserve"> What is </t>
    </r>
    <r>
      <rPr>
        <b/>
        <sz val="10"/>
        <color theme="1"/>
        <rFont val="Arial Unicode MS"/>
      </rPr>
      <t>DAYS</t>
    </r>
    <r>
      <rPr>
        <b/>
        <sz val="24"/>
        <color theme="1"/>
        <rFont val="Aptos Narrow"/>
        <family val="2"/>
        <scheme val="minor"/>
      </rPr>
      <t xml:space="preserve"> in Excel?</t>
    </r>
  </si>
  <si>
    <t xml:space="preserve"> Key Features &amp; Notes</t>
  </si>
  <si>
    <t xml:space="preserve"> 15+ Examples</t>
  </si>
  <si>
    <t xml:space="preserve"> Practical Use Cases</t>
  </si>
  <si>
    <t>Quick Comparison</t>
  </si>
  <si>
    <t>Tips &amp; Gotchas</t>
  </si>
  <si>
    <t>DAYS360 Function every month is 30 day considered</t>
  </si>
  <si>
    <r>
      <t xml:space="preserve">Perfect 👌 Let’s deep dive into the </t>
    </r>
    <r>
      <rPr>
        <b/>
        <sz val="11"/>
        <color theme="1"/>
        <rFont val="Aptos Narrow"/>
        <family val="2"/>
        <scheme val="minor"/>
      </rPr>
      <t>DAYS360 function in Excel</t>
    </r>
    <r>
      <rPr>
        <sz val="11"/>
        <color theme="1"/>
        <rFont val="Aptos Narrow"/>
        <family val="2"/>
        <scheme val="minor"/>
      </rPr>
      <t xml:space="preserve">. This one is very popular in </t>
    </r>
    <r>
      <rPr>
        <b/>
        <sz val="11"/>
        <color theme="1"/>
        <rFont val="Aptos Narrow"/>
        <family val="2"/>
        <scheme val="minor"/>
      </rPr>
      <t>finance, accounting, and project management</t>
    </r>
    <r>
      <rPr>
        <sz val="11"/>
        <color theme="1"/>
        <rFont val="Aptos Narrow"/>
        <family val="2"/>
        <scheme val="minor"/>
      </rPr>
      <t xml:space="preserve"> because it calculates days on a </t>
    </r>
    <r>
      <rPr>
        <b/>
        <sz val="11"/>
        <color theme="1"/>
        <rFont val="Aptos Narrow"/>
        <family val="2"/>
        <scheme val="minor"/>
      </rPr>
      <t>360-day year basis</t>
    </r>
    <r>
      <rPr>
        <sz val="11"/>
        <color theme="1"/>
        <rFont val="Aptos Narrow"/>
        <family val="2"/>
        <scheme val="minor"/>
      </rPr>
      <t xml:space="preserve"> (12 months × 30 days each).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</si>
  <si>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DAYS360</t>
    </r>
    <r>
      <rPr>
        <sz val="11"/>
        <color theme="1"/>
        <rFont val="Aptos Narrow"/>
        <family val="2"/>
        <scheme val="minor"/>
      </rPr>
      <t xml:space="preserve"> function returns the number of days between two dates </t>
    </r>
    <r>
      <rPr>
        <b/>
        <sz val="11"/>
        <color theme="1"/>
        <rFont val="Aptos Narrow"/>
        <family val="2"/>
        <scheme val="minor"/>
      </rPr>
      <t>based on a 360-day year (12 months × 30 days)</t>
    </r>
    <r>
      <rPr>
        <sz val="11"/>
        <color theme="1"/>
        <rFont val="Aptos Narrow"/>
        <family val="2"/>
        <scheme val="minor"/>
      </rPr>
      <t xml:space="preserve"> instead of the actual calendar year (365/366).</t>
    </r>
  </si>
  <si>
    <r>
      <t xml:space="preserve">It is mainly used in </t>
    </r>
    <r>
      <rPr>
        <b/>
        <sz val="11"/>
        <color theme="1"/>
        <rFont val="Aptos Narrow"/>
        <family val="2"/>
        <scheme val="minor"/>
      </rPr>
      <t>financial and accounting systems</t>
    </r>
    <r>
      <rPr>
        <sz val="11"/>
        <color theme="1"/>
        <rFont val="Aptos Narrow"/>
        <family val="2"/>
        <scheme val="minor"/>
      </rPr>
      <t xml:space="preserve"> (e.g., bonds, interest, loan schedules) where months are standardized to 30 days.</t>
    </r>
  </si>
  <si>
    <t>=DAYS360(start_date, end_date, [method])</t>
  </si>
  <si>
    <t>Arguments:</t>
  </si>
  <si>
    <r>
      <t>start_date</t>
    </r>
    <r>
      <rPr>
        <sz val="11"/>
        <color theme="1"/>
        <rFont val="Aptos Narrow"/>
        <family val="2"/>
        <scheme val="minor"/>
      </rPr>
      <t xml:space="preserve"> → The beginning date.</t>
    </r>
  </si>
  <si>
    <r>
      <t>end_date</t>
    </r>
    <r>
      <rPr>
        <sz val="11"/>
        <color theme="1"/>
        <rFont val="Aptos Narrow"/>
        <family val="2"/>
        <scheme val="minor"/>
      </rPr>
      <t xml:space="preserve"> → The ending date.</t>
    </r>
  </si>
  <si>
    <r>
      <t>method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  <r>
      <rPr>
        <sz val="11"/>
        <color theme="1"/>
        <rFont val="Aptos Narrow"/>
        <family val="2"/>
        <scheme val="minor"/>
      </rPr>
      <t>:</t>
    </r>
  </si>
  <si>
    <r>
      <t>FALSE</t>
    </r>
    <r>
      <rPr>
        <sz val="11"/>
        <color theme="1"/>
        <rFont val="Aptos Narrow"/>
        <family val="2"/>
        <scheme val="minor"/>
      </rPr>
      <t xml:space="preserve"> (default) → U.S. (NASD) method.</t>
    </r>
  </si>
  <si>
    <r>
      <t>TRUE</t>
    </r>
    <r>
      <rPr>
        <sz val="11"/>
        <color theme="1"/>
        <rFont val="Aptos Narrow"/>
        <family val="2"/>
        <scheme val="minor"/>
      </rPr>
      <t xml:space="preserve"> → European method.</t>
    </r>
  </si>
  <si>
    <r>
      <t>1. Standardized 360-day year</t>
    </r>
    <r>
      <rPr>
        <sz val="11"/>
        <color theme="1"/>
        <rFont val="Aptos Narrow"/>
        <family val="2"/>
        <scheme val="minor"/>
      </rPr>
      <t xml:space="preserve"> for financial calculations.</t>
    </r>
  </si>
  <si>
    <r>
      <t>2. Ignores leap years</t>
    </r>
    <r>
      <rPr>
        <sz val="11"/>
        <color theme="1"/>
        <rFont val="Aptos Narrow"/>
        <family val="2"/>
        <scheme val="minor"/>
      </rPr>
      <t xml:space="preserve"> and varying month lengths.</t>
    </r>
  </si>
  <si>
    <t>3. Two calculation methods:</t>
  </si>
  <si>
    <r>
      <t>U.S. method (NASD)</t>
    </r>
    <r>
      <rPr>
        <sz val="11"/>
        <color theme="1"/>
        <rFont val="Aptos Narrow"/>
        <family val="2"/>
        <scheme val="minor"/>
      </rPr>
      <t>: Adjusts month ends differently.</t>
    </r>
  </si>
  <si>
    <r>
      <t>European method</t>
    </r>
    <r>
      <rPr>
        <sz val="11"/>
        <color theme="1"/>
        <rFont val="Aptos Narrow"/>
        <family val="2"/>
        <scheme val="minor"/>
      </rPr>
      <t>: Both dates forced to 30 if they fall on month end.</t>
    </r>
  </si>
  <si>
    <r>
      <t xml:space="preserve">4. Returns </t>
    </r>
    <r>
      <rPr>
        <b/>
        <sz val="11"/>
        <color theme="1"/>
        <rFont val="Aptos Narrow"/>
        <family val="2"/>
        <scheme val="minor"/>
      </rPr>
      <t>integer number of days</t>
    </r>
    <r>
      <rPr>
        <sz val="11"/>
        <color theme="1"/>
        <rFont val="Aptos Narrow"/>
        <family val="2"/>
        <scheme val="minor"/>
      </rPr>
      <t>.</t>
    </r>
  </si>
  <si>
    <t>5. Works with cell references and formulas.</t>
  </si>
  <si>
    <r>
      <t xml:space="preserve">6. Useful in </t>
    </r>
    <r>
      <rPr>
        <b/>
        <sz val="11"/>
        <color theme="1"/>
        <rFont val="Aptos Narrow"/>
        <family val="2"/>
        <scheme val="minor"/>
      </rPr>
      <t>interest calculations, loan schedules, bond pricing</t>
    </r>
    <r>
      <rPr>
        <sz val="11"/>
        <color theme="1"/>
        <rFont val="Aptos Narrow"/>
        <family val="2"/>
        <scheme val="minor"/>
      </rPr>
      <t>.</t>
    </r>
  </si>
  <si>
    <t>7. Supports both positive and negative results.</t>
  </si>
  <si>
    <r>
      <t xml:space="preserve">8. Faster than manually adjusting with </t>
    </r>
    <r>
      <rPr>
        <sz val="10"/>
        <color theme="1"/>
        <rFont val="Arial Unicode MS"/>
      </rPr>
      <t>DATEDIF</t>
    </r>
    <r>
      <rPr>
        <sz val="11"/>
        <color theme="1"/>
        <rFont val="Aptos Narrow"/>
        <family val="2"/>
        <scheme val="minor"/>
      </rPr>
      <t>.</t>
    </r>
  </si>
  <si>
    <t>9. Consistent results for periodic schedules.</t>
  </si>
  <si>
    <r>
      <t xml:space="preserve">10. Works in both </t>
    </r>
    <r>
      <rPr>
        <b/>
        <sz val="11"/>
        <color theme="1"/>
        <rFont val="Aptos Narrow"/>
        <family val="2"/>
        <scheme val="minor"/>
      </rPr>
      <t>Excel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Google Sheets</t>
    </r>
    <r>
      <rPr>
        <sz val="11"/>
        <color theme="1"/>
        <rFont val="Aptos Narrow"/>
        <family val="2"/>
        <scheme val="minor"/>
      </rPr>
      <t>.</t>
    </r>
  </si>
  <si>
    <r>
      <t xml:space="preserve">Assume today’s date = </t>
    </r>
    <r>
      <rPr>
        <b/>
        <sz val="11"/>
        <color theme="1"/>
        <rFont val="Aptos Narrow"/>
        <family val="2"/>
        <scheme val="minor"/>
      </rPr>
      <t>20-Aug-2025</t>
    </r>
    <r>
      <rPr>
        <sz val="11"/>
        <color theme="1"/>
        <rFont val="Aptos Narrow"/>
        <family val="2"/>
        <scheme val="minor"/>
      </rPr>
      <t>.</t>
    </r>
  </si>
  <si>
    <t>Example</t>
  </si>
  <si>
    <t>Result</t>
  </si>
  <si>
    <t>Explanation</t>
  </si>
  <si>
    <t>Full 360-day year</t>
  </si>
  <si>
    <t>6 months = 180 days</t>
  </si>
  <si>
    <t>14 days between</t>
  </si>
  <si>
    <t>Always 30 days in each month</t>
  </si>
  <si>
    <t>Ignores leap day</t>
  </si>
  <si>
    <t>28 (US) / 30 (EU)</t>
  </si>
  <si>
    <t>Difference between U.S. &amp; European method</t>
  </si>
  <si>
    <t>11 months × 30</t>
  </si>
  <si>
    <t>6 months</t>
  </si>
  <si>
    <t>Quarterly difference</t>
  </si>
  <si>
    <t>11 days</t>
  </si>
  <si>
    <t>Full financial year</t>
  </si>
  <si>
    <t>Start to 15-Aug</t>
  </si>
  <si>
    <t>Small difference</t>
  </si>
  <si>
    <t>2 full 360-day years</t>
  </si>
  <si>
    <t>European method keeps month ends consistent</t>
  </si>
  <si>
    <t>🔹 1. Interest Calculation in Banking</t>
  </si>
  <si>
    <r>
      <t xml:space="preserve">Banks often use </t>
    </r>
    <r>
      <rPr>
        <b/>
        <sz val="11"/>
        <color theme="1"/>
        <rFont val="Aptos Narrow"/>
        <family val="2"/>
        <scheme val="minor"/>
      </rPr>
      <t>30/360 convention</t>
    </r>
    <r>
      <rPr>
        <sz val="11"/>
        <color theme="1"/>
        <rFont val="Aptos Narrow"/>
        <family val="2"/>
        <scheme val="minor"/>
      </rPr>
      <t>.</t>
    </r>
  </si>
  <si>
    <t>👉 Calculates interest between two dates.</t>
  </si>
  <si>
    <t>🔹 2. Loan Repayment Schedules</t>
  </si>
  <si>
    <r>
      <t xml:space="preserve">Each month is treated as </t>
    </r>
    <r>
      <rPr>
        <b/>
        <sz val="11"/>
        <color theme="1"/>
        <rFont val="Aptos Narrow"/>
        <family val="2"/>
        <scheme val="minor"/>
      </rPr>
      <t>30 days</t>
    </r>
    <r>
      <rPr>
        <sz val="11"/>
        <color theme="1"/>
        <rFont val="Aptos Narrow"/>
        <family val="2"/>
        <scheme val="minor"/>
      </rPr>
      <t xml:space="preserve"> for EMI consistency.</t>
    </r>
  </si>
  <si>
    <t>👉 Makes amortization tables easier.</t>
  </si>
  <si>
    <t>🔹 3. Bond Pricing</t>
  </si>
  <si>
    <r>
      <t xml:space="preserve">Used in </t>
    </r>
    <r>
      <rPr>
        <b/>
        <sz val="11"/>
        <color theme="1"/>
        <rFont val="Aptos Narrow"/>
        <family val="2"/>
        <scheme val="minor"/>
      </rPr>
      <t>fixed-income securities</t>
    </r>
    <r>
      <rPr>
        <sz val="11"/>
        <color theme="1"/>
        <rFont val="Aptos Narrow"/>
        <family val="2"/>
        <scheme val="minor"/>
      </rPr>
      <t xml:space="preserve"> to compute accrued interest.</t>
    </r>
  </si>
  <si>
    <t>👉 Many bonds follow 30/360 day count convention.</t>
  </si>
  <si>
    <t>🔹 4. Accounting Periods</t>
  </si>
  <si>
    <t>Year-end reconciliations where each month is assumed to be 30 days.</t>
  </si>
  <si>
    <t>👉 Avoids irregularities of different month lengths.</t>
  </si>
  <si>
    <t>🔹 5. Project Management</t>
  </si>
  <si>
    <r>
      <t xml:space="preserve">To estimate project durations using </t>
    </r>
    <r>
      <rPr>
        <b/>
        <sz val="11"/>
        <color theme="1"/>
        <rFont val="Aptos Narrow"/>
        <family val="2"/>
        <scheme val="minor"/>
      </rPr>
      <t>standardized months</t>
    </r>
    <r>
      <rPr>
        <sz val="11"/>
        <color theme="1"/>
        <rFont val="Aptos Narrow"/>
        <family val="2"/>
        <scheme val="minor"/>
      </rPr>
      <t>.</t>
    </r>
  </si>
  <si>
    <t>👉 Makes planning consistent when using months.</t>
  </si>
  <si>
    <t>🔹 6. Employee Benefits</t>
  </si>
  <si>
    <r>
      <t xml:space="preserve">Leave or pension calculations based on </t>
    </r>
    <r>
      <rPr>
        <b/>
        <sz val="11"/>
        <color theme="1"/>
        <rFont val="Aptos Narrow"/>
        <family val="2"/>
        <scheme val="minor"/>
      </rPr>
      <t>uniform 360-day year</t>
    </r>
    <r>
      <rPr>
        <sz val="11"/>
        <color theme="1"/>
        <rFont val="Aptos Narrow"/>
        <family val="2"/>
        <scheme val="minor"/>
      </rPr>
      <t>.</t>
    </r>
  </si>
  <si>
    <t>👉 Avoids leap year complications.</t>
  </si>
  <si>
    <t>🔹 7. Budgeting</t>
  </si>
  <si>
    <t>Divide yearly budget into equal monthly/quarterly parts.</t>
  </si>
  <si>
    <t>👉 Ensures 360-day split.</t>
  </si>
  <si>
    <t>🔹 8. Contract Expiry</t>
  </si>
  <si>
    <t>Some contracts define interest and penalties based on 30/360 convention.</t>
  </si>
  <si>
    <t>🔹 9. Comparisons</t>
  </si>
  <si>
    <r>
      <t xml:space="preserve">Useful for comparing projects/loans where </t>
    </r>
    <r>
      <rPr>
        <b/>
        <sz val="11"/>
        <color theme="1"/>
        <rFont val="Aptos Narrow"/>
        <family val="2"/>
        <scheme val="minor"/>
      </rPr>
      <t>30-day months</t>
    </r>
    <r>
      <rPr>
        <sz val="11"/>
        <color theme="1"/>
        <rFont val="Aptos Narrow"/>
        <family val="2"/>
        <scheme val="minor"/>
      </rPr>
      <t xml:space="preserve"> standardize data.</t>
    </r>
  </si>
  <si>
    <t>🔹 10. International Finance</t>
  </si>
  <si>
    <t>European vs U.S. methods used in cross-border financial agreements.</t>
  </si>
  <si>
    <r>
      <t xml:space="preserve">✅ </t>
    </r>
    <r>
      <rPr>
        <b/>
        <sz val="11"/>
        <color theme="1"/>
        <rFont val="Aptos Narrow"/>
        <family val="2"/>
        <scheme val="minor"/>
      </rPr>
      <t>In summary</t>
    </r>
    <r>
      <rPr>
        <sz val="11"/>
        <color theme="1"/>
        <rFont val="Aptos Narrow"/>
        <family val="2"/>
        <scheme val="minor"/>
      </rPr>
      <t>: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</si>
  <si>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DAYS360 function</t>
    </r>
    <r>
      <rPr>
        <sz val="11"/>
        <color theme="1"/>
        <rFont val="Aptos Narrow"/>
        <family val="2"/>
        <scheme val="minor"/>
      </rPr>
      <t xml:space="preserve"> is </t>
    </r>
    <r>
      <rPr>
        <b/>
        <sz val="11"/>
        <color theme="1"/>
        <rFont val="Aptos Narrow"/>
        <family val="2"/>
        <scheme val="minor"/>
      </rPr>
      <t>not for everyday date math</t>
    </r>
    <r>
      <rPr>
        <sz val="11"/>
        <color theme="1"/>
        <rFont val="Aptos Narrow"/>
        <family val="2"/>
        <scheme val="minor"/>
      </rPr>
      <t xml:space="preserve">, but it’s </t>
    </r>
    <r>
      <rPr>
        <b/>
        <sz val="11"/>
        <color theme="1"/>
        <rFont val="Aptos Narrow"/>
        <family val="2"/>
        <scheme val="minor"/>
      </rPr>
      <t>essential in finance, accounting, and project planning</t>
    </r>
    <r>
      <rPr>
        <sz val="11"/>
        <color theme="1"/>
        <rFont val="Aptos Narrow"/>
        <family val="2"/>
        <scheme val="minor"/>
      </rPr>
      <t xml:space="preserve">, because it standardizes months and years to </t>
    </r>
    <r>
      <rPr>
        <b/>
        <sz val="11"/>
        <color theme="1"/>
        <rFont val="Aptos Narrow"/>
        <family val="2"/>
        <scheme val="minor"/>
      </rPr>
      <t>30/360 convention</t>
    </r>
    <r>
      <rPr>
        <sz val="11"/>
        <color theme="1"/>
        <rFont val="Aptos Narrow"/>
        <family val="2"/>
        <scheme val="minor"/>
      </rPr>
      <t>, ensuring fair and consistent calculations.</t>
    </r>
  </si>
  <si>
    <t xml:space="preserve"> What is DAYS360 Function?</t>
  </si>
  <si>
    <t xml:space="preserve"> Syntax</t>
  </si>
  <si>
    <t xml:space="preserve"> Features of DAYS360</t>
  </si>
  <si>
    <t>Examples of DAYS360</t>
  </si>
  <si>
    <t xml:space="preserve"> Use Cases of DAYS360</t>
  </si>
  <si>
    <r>
      <rPr>
        <b/>
        <sz val="11"/>
        <color theme="1"/>
        <rFont val="Aptos Narrow"/>
        <family val="2"/>
        <scheme val="minor"/>
      </rPr>
      <t>Excel file with 20+ DAYS360 examples (both U.S. &amp; European method)</t>
    </r>
    <r>
      <rPr>
        <sz val="11"/>
        <color theme="1"/>
        <rFont val="Aptos Narrow"/>
        <family val="2"/>
        <scheme val="minor"/>
      </rPr>
      <t xml:space="preserve"> similar to what I prepared for </t>
    </r>
    <r>
      <rPr>
        <sz val="10"/>
        <color theme="1"/>
        <rFont val="Arial Unicode MS"/>
      </rPr>
      <t>DAYS</t>
    </r>
    <r>
      <rPr>
        <sz val="11"/>
        <color theme="1"/>
        <rFont val="Aptos Narrow"/>
        <family val="2"/>
        <scheme val="minor"/>
      </rPr>
      <t>, so you can practice and demonstrate to students?</t>
    </r>
  </si>
  <si>
    <t>EDATE Function</t>
  </si>
  <si>
    <t>Dates</t>
  </si>
  <si>
    <t>Date of next month</t>
  </si>
  <si>
    <r>
      <t xml:space="preserve">The </t>
    </r>
    <r>
      <rPr>
        <b/>
        <sz val="11"/>
        <color theme="1"/>
        <rFont val="Aptos Narrow"/>
        <family val="2"/>
        <scheme val="minor"/>
      </rPr>
      <t>EDATE function</t>
    </r>
    <r>
      <rPr>
        <sz val="11"/>
        <color theme="1"/>
        <rFont val="Aptos Narrow"/>
        <family val="2"/>
        <scheme val="minor"/>
      </rPr>
      <t xml:space="preserve"> in Excel returns the date that is a specified number of months before or after a given start date.</t>
    </r>
  </si>
  <si>
    <r>
      <t xml:space="preserve">It is commonly used in </t>
    </r>
    <r>
      <rPr>
        <b/>
        <sz val="11"/>
        <color theme="1"/>
        <rFont val="Aptos Narrow"/>
        <family val="2"/>
        <scheme val="minor"/>
      </rPr>
      <t>financial analysis, project management, loan calculations, and due date tracking</t>
    </r>
    <r>
      <rPr>
        <sz val="11"/>
        <color theme="1"/>
        <rFont val="Aptos Narrow"/>
        <family val="2"/>
        <scheme val="minor"/>
      </rPr>
      <t>.</t>
    </r>
  </si>
  <si>
    <t>EDATE(start_date, months)</t>
  </si>
  <si>
    <r>
      <t>start_date</t>
    </r>
    <r>
      <rPr>
        <sz val="11"/>
        <color theme="1"/>
        <rFont val="Aptos Narrow"/>
        <family val="2"/>
        <scheme val="minor"/>
      </rPr>
      <t xml:space="preserve"> → The initial date.</t>
    </r>
  </si>
  <si>
    <r>
      <t>months</t>
    </r>
    <r>
      <rPr>
        <sz val="11"/>
        <color theme="1"/>
        <rFont val="Aptos Narrow"/>
        <family val="2"/>
        <scheme val="minor"/>
      </rPr>
      <t xml:space="preserve"> → Number of months before/after start date.</t>
    </r>
  </si>
  <si>
    <t>Positive value → Future date</t>
  </si>
  <si>
    <t>Negative value → Past date</t>
  </si>
  <si>
    <t>1. Add 6 months to a date</t>
  </si>
  <si>
    <t>2. Subtract 3 months from a date</t>
  </si>
  <si>
    <t>3. Using a cell reference</t>
  </si>
  <si>
    <r>
      <t xml:space="preserve">If </t>
    </r>
    <r>
      <rPr>
        <b/>
        <sz val="11"/>
        <color theme="1"/>
        <rFont val="Aptos Narrow"/>
        <family val="2"/>
        <scheme val="minor"/>
      </rPr>
      <t>A1 = 10/03/2024 (10th March 2024)</t>
    </r>
  </si>
  <si>
    <t>4. Loan Due Date (12-month loan)</t>
  </si>
  <si>
    <r>
      <t xml:space="preserve">If </t>
    </r>
    <r>
      <rPr>
        <b/>
        <sz val="11"/>
        <color theme="1"/>
        <rFont val="Aptos Narrow"/>
        <family val="2"/>
        <scheme val="minor"/>
      </rPr>
      <t>Loan Start Date = 05-Apr-2023</t>
    </r>
  </si>
  <si>
    <t>5. Handling leap year</t>
  </si>
  <si>
    <t>6. Calculate Expiry Date</t>
  </si>
  <si>
    <r>
      <t xml:space="preserve">If </t>
    </r>
    <r>
      <rPr>
        <b/>
        <sz val="11"/>
        <color theme="1"/>
        <rFont val="Aptos Narrow"/>
        <family val="2"/>
        <scheme val="minor"/>
      </rPr>
      <t>Manufacturing Date = 20-May-2024</t>
    </r>
    <r>
      <rPr>
        <sz val="11"/>
        <color theme="1"/>
        <rFont val="Aptos Narrow"/>
        <family val="2"/>
        <scheme val="minor"/>
      </rPr>
      <t xml:space="preserve"> in cell A2, and shelf life = 18 months in cell B2:</t>
    </r>
  </si>
  <si>
    <r>
      <t>1. Loan repayment schedules</t>
    </r>
    <r>
      <rPr>
        <sz val="11"/>
        <color theme="1"/>
        <rFont val="Aptos Narrow"/>
        <family val="2"/>
        <scheme val="minor"/>
      </rPr>
      <t xml:space="preserve"> (e.g., monthly/quarterly due dates).</t>
    </r>
  </si>
  <si>
    <r>
      <t>2. Employee probation periods</t>
    </r>
    <r>
      <rPr>
        <sz val="11"/>
        <color theme="1"/>
        <rFont val="Aptos Narrow"/>
        <family val="2"/>
        <scheme val="minor"/>
      </rPr>
      <t xml:space="preserve"> (e.g., 6 months after joining).</t>
    </r>
  </si>
  <si>
    <r>
      <t>3. Subscription renewals</t>
    </r>
    <r>
      <rPr>
        <sz val="11"/>
        <color theme="1"/>
        <rFont val="Aptos Narrow"/>
        <family val="2"/>
        <scheme val="minor"/>
      </rPr>
      <t xml:space="preserve"> (e.g., 1 year after sign-up).</t>
    </r>
  </si>
  <si>
    <r>
      <t>4. Project deadlines</t>
    </r>
    <r>
      <rPr>
        <sz val="11"/>
        <color theme="1"/>
        <rFont val="Aptos Narrow"/>
        <family val="2"/>
        <scheme val="minor"/>
      </rPr>
      <t xml:space="preserve"> (e.g., milestone tracking).</t>
    </r>
  </si>
  <si>
    <r>
      <t>5. Warranty/expiry date calculation</t>
    </r>
    <r>
      <rPr>
        <sz val="11"/>
        <color theme="1"/>
        <rFont val="Aptos Narrow"/>
        <family val="2"/>
        <scheme val="minor"/>
      </rPr>
      <t>.</t>
    </r>
  </si>
  <si>
    <r>
      <t xml:space="preserve">Works with </t>
    </r>
    <r>
      <rPr>
        <b/>
        <sz val="11"/>
        <color theme="1"/>
        <rFont val="Aptos Narrow"/>
        <family val="2"/>
        <scheme val="minor"/>
      </rPr>
      <t>positive and negative values</t>
    </r>
    <r>
      <rPr>
        <sz val="11"/>
        <color theme="1"/>
        <rFont val="Aptos Narrow"/>
        <family val="2"/>
        <scheme val="minor"/>
      </rPr>
      <t>.</t>
    </r>
  </si>
  <si>
    <r>
      <t xml:space="preserve">Handles </t>
    </r>
    <r>
      <rPr>
        <b/>
        <sz val="11"/>
        <color theme="1"/>
        <rFont val="Aptos Narrow"/>
        <family val="2"/>
        <scheme val="minor"/>
      </rPr>
      <t>leap years</t>
    </r>
    <r>
      <rPr>
        <sz val="11"/>
        <color theme="1"/>
        <rFont val="Aptos Narrow"/>
        <family val="2"/>
        <scheme val="minor"/>
      </rPr>
      <t xml:space="preserve"> correctly.</t>
    </r>
  </si>
  <si>
    <r>
      <t xml:space="preserve">Compatible with </t>
    </r>
    <r>
      <rPr>
        <b/>
        <sz val="11"/>
        <color theme="1"/>
        <rFont val="Aptos Narrow"/>
        <family val="2"/>
        <scheme val="minor"/>
      </rPr>
      <t>cell references</t>
    </r>
    <r>
      <rPr>
        <sz val="11"/>
        <color theme="1"/>
        <rFont val="Aptos Narrow"/>
        <family val="2"/>
        <scheme val="minor"/>
      </rPr>
      <t xml:space="preserve"> for dynamic modeling.</t>
    </r>
  </si>
  <si>
    <t>Easy integration with other date functions (EOMONTH, TODAY, DATEDIF, etc.).</t>
  </si>
  <si>
    <r>
      <t>1. Input must be a valid date</t>
    </r>
    <r>
      <rPr>
        <sz val="11"/>
        <color theme="1"/>
        <rFont val="Aptos Narrow"/>
        <family val="2"/>
        <scheme val="minor"/>
      </rPr>
      <t xml:space="preserve"> (otherwise returns </t>
    </r>
    <r>
      <rPr>
        <sz val="10"/>
        <color theme="1"/>
        <rFont val="Arial Unicode MS"/>
      </rPr>
      <t>#VALUE!</t>
    </r>
    <r>
      <rPr>
        <sz val="11"/>
        <color theme="1"/>
        <rFont val="Aptos Narrow"/>
        <family val="2"/>
        <scheme val="minor"/>
      </rPr>
      <t>).</t>
    </r>
  </si>
  <si>
    <r>
      <t xml:space="preserve">2. If </t>
    </r>
    <r>
      <rPr>
        <b/>
        <sz val="11"/>
        <color theme="1"/>
        <rFont val="Aptos Narrow"/>
        <family val="2"/>
        <scheme val="minor"/>
      </rPr>
      <t>months argument is not an integer</t>
    </r>
    <r>
      <rPr>
        <sz val="11"/>
        <color theme="1"/>
        <rFont val="Aptos Narrow"/>
        <family val="2"/>
        <scheme val="minor"/>
      </rPr>
      <t>, Excel truncates the decimal.</t>
    </r>
  </si>
  <si>
    <r>
      <t xml:space="preserve">Example: </t>
    </r>
    <r>
      <rPr>
        <sz val="10"/>
        <color theme="1"/>
        <rFont val="Arial Unicode MS"/>
      </rPr>
      <t>=EDATE("01-Jan-2024", 2.5)</t>
    </r>
    <r>
      <rPr>
        <sz val="11"/>
        <color theme="1"/>
        <rFont val="Aptos Narrow"/>
        <family val="2"/>
        <scheme val="minor"/>
      </rPr>
      <t xml:space="preserve"> → treated as </t>
    </r>
    <r>
      <rPr>
        <sz val="10"/>
        <color theme="1"/>
        <rFont val="Arial Unicode MS"/>
      </rPr>
      <t>2</t>
    </r>
    <r>
      <rPr>
        <sz val="11"/>
        <color theme="1"/>
        <rFont val="Aptos Narrow"/>
        <family val="2"/>
        <scheme val="minor"/>
      </rPr>
      <t>.</t>
    </r>
  </si>
  <si>
    <r>
      <t xml:space="preserve">3. Does not calculate </t>
    </r>
    <r>
      <rPr>
        <b/>
        <sz val="11"/>
        <color theme="1"/>
        <rFont val="Aptos Narrow"/>
        <family val="2"/>
        <scheme val="minor"/>
      </rPr>
      <t>end of month</t>
    </r>
    <r>
      <rPr>
        <sz val="11"/>
        <color theme="1"/>
        <rFont val="Aptos Narrow"/>
        <family val="2"/>
        <scheme val="minor"/>
      </rPr>
      <t xml:space="preserve"> automatically (use </t>
    </r>
    <r>
      <rPr>
        <b/>
        <sz val="11"/>
        <color theme="1"/>
        <rFont val="Aptos Narrow"/>
        <family val="2"/>
        <scheme val="minor"/>
      </rPr>
      <t>EOMONTH</t>
    </r>
    <r>
      <rPr>
        <sz val="11"/>
        <color theme="1"/>
        <rFont val="Aptos Narrow"/>
        <family val="2"/>
        <scheme val="minor"/>
      </rPr>
      <t xml:space="preserve"> for that).</t>
    </r>
  </si>
  <si>
    <r>
      <t xml:space="preserve">4. Limited to </t>
    </r>
    <r>
      <rPr>
        <b/>
        <sz val="11"/>
        <color theme="1"/>
        <rFont val="Aptos Narrow"/>
        <family val="2"/>
        <scheme val="minor"/>
      </rPr>
      <t>Excel date range</t>
    </r>
    <r>
      <rPr>
        <sz val="11"/>
        <color theme="1"/>
        <rFont val="Aptos Narrow"/>
        <family val="2"/>
        <scheme val="minor"/>
      </rPr>
      <t xml:space="preserve"> (1-Jan-1900 to 31-Dec-9999).</t>
    </r>
  </si>
  <si>
    <r>
      <t xml:space="preserve">5. If the </t>
    </r>
    <r>
      <rPr>
        <b/>
        <sz val="11"/>
        <color theme="1"/>
        <rFont val="Aptos Narrow"/>
        <family val="2"/>
        <scheme val="minor"/>
      </rPr>
      <t>day doesn’t exist in target month</t>
    </r>
    <r>
      <rPr>
        <sz val="11"/>
        <color theme="1"/>
        <rFont val="Aptos Narrow"/>
        <family val="2"/>
        <scheme val="minor"/>
      </rPr>
      <t xml:space="preserve"> (like Feb 30), it adjusts to last valid date.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</si>
  <si>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EDATE function</t>
    </r>
    <r>
      <rPr>
        <sz val="11"/>
        <color theme="1"/>
        <rFont val="Aptos Narrow"/>
        <family val="2"/>
        <scheme val="minor"/>
      </rPr>
      <t xml:space="preserve"> is a powerful tool for adding/subtracting months from a given date, widely used in </t>
    </r>
    <r>
      <rPr>
        <b/>
        <sz val="11"/>
        <color theme="1"/>
        <rFont val="Aptos Narrow"/>
        <family val="2"/>
        <scheme val="minor"/>
      </rPr>
      <t>financial, HR, and project management models</t>
    </r>
    <r>
      <rPr>
        <sz val="11"/>
        <color theme="1"/>
        <rFont val="Aptos Narrow"/>
        <family val="2"/>
        <scheme val="minor"/>
      </rPr>
      <t>.</t>
    </r>
  </si>
  <si>
    <t>EDATE Function in Excel</t>
  </si>
  <si>
    <t>Definition</t>
  </si>
  <si>
    <t>Syntax</t>
  </si>
  <si>
    <t xml:space="preserve"> Examples</t>
  </si>
  <si>
    <r>
      <t xml:space="preserve"> Result: </t>
    </r>
    <r>
      <rPr>
        <b/>
        <sz val="11"/>
        <color theme="1"/>
        <rFont val="Aptos Narrow"/>
        <family val="2"/>
        <scheme val="minor"/>
      </rPr>
      <t>01-Jul-2024</t>
    </r>
  </si>
  <si>
    <r>
      <t xml:space="preserve"> Result: </t>
    </r>
    <r>
      <rPr>
        <b/>
        <sz val="11"/>
        <color theme="1"/>
        <rFont val="Aptos Narrow"/>
        <family val="2"/>
        <scheme val="minor"/>
      </rPr>
      <t>15-Feb-2024</t>
    </r>
  </si>
  <si>
    <r>
      <t xml:space="preserve">Result: </t>
    </r>
    <r>
      <rPr>
        <b/>
        <sz val="11"/>
        <color theme="1"/>
        <rFont val="Aptos Narrow"/>
        <family val="2"/>
        <scheme val="minor"/>
      </rPr>
      <t>10-Mar-2025</t>
    </r>
  </si>
  <si>
    <r>
      <t xml:space="preserve"> Result: </t>
    </r>
    <r>
      <rPr>
        <b/>
        <sz val="11"/>
        <color theme="1"/>
        <rFont val="Aptos Narrow"/>
        <family val="2"/>
        <scheme val="minor"/>
      </rPr>
      <t>05-Apr-2024</t>
    </r>
  </si>
  <si>
    <r>
      <t xml:space="preserve"> Result: </t>
    </r>
    <r>
      <rPr>
        <b/>
        <sz val="11"/>
        <color theme="1"/>
        <rFont val="Aptos Narrow"/>
        <family val="2"/>
        <scheme val="minor"/>
      </rPr>
      <t>28-Feb-2025</t>
    </r>
    <r>
      <rPr>
        <sz val="11"/>
        <color theme="1"/>
        <rFont val="Aptos Narrow"/>
        <family val="2"/>
        <scheme val="minor"/>
      </rPr>
      <t xml:space="preserve"> (since 2025 is not a leap year)</t>
    </r>
  </si>
  <si>
    <r>
      <t xml:space="preserve"> Result: </t>
    </r>
    <r>
      <rPr>
        <b/>
        <sz val="11"/>
        <color theme="1"/>
        <rFont val="Aptos Narrow"/>
        <family val="2"/>
        <scheme val="minor"/>
      </rPr>
      <t>20-Nov-2025</t>
    </r>
  </si>
  <si>
    <t>Use Cases of EDATE</t>
  </si>
  <si>
    <t xml:space="preserve"> Features</t>
  </si>
  <si>
    <t xml:space="preserve"> Limitations</t>
  </si>
  <si>
    <t>Summary:</t>
  </si>
  <si>
    <t>adding and subtracting for use</t>
  </si>
  <si>
    <t>EO-Month Function</t>
  </si>
  <si>
    <t xml:space="preserve">Month </t>
  </si>
  <si>
    <t>Date</t>
  </si>
  <si>
    <t>Last Date</t>
  </si>
  <si>
    <t>First Date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</si>
  <si>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</si>
  <si>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</si>
  <si>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</si>
  <si>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</si>
  <si>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</si>
  <si>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</si>
  <si>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</si>
  <si>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</si>
  <si>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</si>
  <si>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</si>
  <si>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</si>
  <si>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</si>
  <si>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All dates in return down last date and first date</t>
  </si>
  <si>
    <t>Isoweeknum Function In Excel</t>
  </si>
  <si>
    <t>January first week now week counts</t>
  </si>
  <si>
    <r>
      <t xml:space="preserve">The </t>
    </r>
    <r>
      <rPr>
        <b/>
        <sz val="11"/>
        <color theme="1"/>
        <rFont val="Aptos Narrow"/>
        <family val="2"/>
        <scheme val="minor"/>
      </rPr>
      <t>ISOWEEKNUM function</t>
    </r>
    <r>
      <rPr>
        <sz val="11"/>
        <color theme="1"/>
        <rFont val="Aptos Narrow"/>
        <family val="2"/>
        <scheme val="minor"/>
      </rPr>
      <t xml:space="preserve"> returns the </t>
    </r>
    <r>
      <rPr>
        <b/>
        <sz val="11"/>
        <color theme="1"/>
        <rFont val="Aptos Narrow"/>
        <family val="2"/>
        <scheme val="minor"/>
      </rPr>
      <t>ISO week number of the year</t>
    </r>
    <r>
      <rPr>
        <sz val="11"/>
        <color theme="1"/>
        <rFont val="Aptos Narrow"/>
        <family val="2"/>
        <scheme val="minor"/>
      </rPr>
      <t xml:space="preserve"> for a given date, based on the </t>
    </r>
    <r>
      <rPr>
        <b/>
        <sz val="11"/>
        <color theme="1"/>
        <rFont val="Aptos Narrow"/>
        <family val="2"/>
        <scheme val="minor"/>
      </rPr>
      <t>ISO 8601 standard</t>
    </r>
    <r>
      <rPr>
        <sz val="11"/>
        <color theme="1"/>
        <rFont val="Aptos Narrow"/>
        <family val="2"/>
        <scheme val="minor"/>
      </rPr>
      <t>.</t>
    </r>
  </si>
  <si>
    <r>
      <t xml:space="preserve">A week starts on </t>
    </r>
    <r>
      <rPr>
        <b/>
        <sz val="11"/>
        <color theme="1"/>
        <rFont val="Aptos Narrow"/>
        <family val="2"/>
        <scheme val="minor"/>
      </rPr>
      <t>Monday</t>
    </r>
    <r>
      <rPr>
        <sz val="11"/>
        <color theme="1"/>
        <rFont val="Aptos Narrow"/>
        <family val="2"/>
        <scheme val="minor"/>
      </rPr>
      <t>.</t>
    </r>
  </si>
  <si>
    <r>
      <t>Week 1</t>
    </r>
    <r>
      <rPr>
        <sz val="11"/>
        <color theme="1"/>
        <rFont val="Aptos Narrow"/>
        <family val="2"/>
        <scheme val="minor"/>
      </rPr>
      <t xml:space="preserve"> is the week that contains the </t>
    </r>
    <r>
      <rPr>
        <b/>
        <sz val="11"/>
        <color theme="1"/>
        <rFont val="Aptos Narrow"/>
        <family val="2"/>
        <scheme val="minor"/>
      </rPr>
      <t>first Thursday</t>
    </r>
    <r>
      <rPr>
        <sz val="11"/>
        <color theme="1"/>
        <rFont val="Aptos Narrow"/>
        <family val="2"/>
        <scheme val="minor"/>
      </rPr>
      <t xml:space="preserve"> of the year (or equivalently, the 4th of January).</t>
    </r>
  </si>
  <si>
    <r>
      <t xml:space="preserve">ISO weeks are numbered </t>
    </r>
    <r>
      <rPr>
        <b/>
        <sz val="11"/>
        <color theme="1"/>
        <rFont val="Aptos Narrow"/>
        <family val="2"/>
        <scheme val="minor"/>
      </rPr>
      <t>1 to 53</t>
    </r>
    <r>
      <rPr>
        <sz val="11"/>
        <color theme="1"/>
        <rFont val="Aptos Narrow"/>
        <family val="2"/>
        <scheme val="minor"/>
      </rPr>
      <t>.</t>
    </r>
  </si>
  <si>
    <t>ISOWEEKNUM(date)</t>
  </si>
  <si>
    <r>
      <t>date</t>
    </r>
    <r>
      <rPr>
        <sz val="11"/>
        <color theme="1"/>
        <rFont val="Aptos Narrow"/>
        <family val="2"/>
        <scheme val="minor"/>
      </rPr>
      <t xml:space="preserve"> → A valid date value (entered directly or via cell reference).</t>
    </r>
  </si>
  <si>
    <t>1. Basic Example</t>
  </si>
  <si>
    <t>(Jan 1, 2024 falls in Week 1 as per ISO standard)</t>
  </si>
  <si>
    <t>2. Using a Cell Reference</t>
  </si>
  <si>
    <r>
      <t xml:space="preserve">If </t>
    </r>
    <r>
      <rPr>
        <b/>
        <sz val="11"/>
        <color theme="1"/>
        <rFont val="Aptos Narrow"/>
        <family val="2"/>
        <scheme val="minor"/>
      </rPr>
      <t>A1 = 15-Mar-2024</t>
    </r>
  </si>
  <si>
    <t>3. Leap Year Example</t>
  </si>
  <si>
    <t>4. Start of Year Edge Case</t>
  </si>
  <si>
    <t>5. End of Year Edge Case</t>
  </si>
  <si>
    <r>
      <t>1. Weekly sales/financial reporting</t>
    </r>
    <r>
      <rPr>
        <sz val="11"/>
        <color theme="1"/>
        <rFont val="Aptos Narrow"/>
        <family val="2"/>
        <scheme val="minor"/>
      </rPr>
      <t xml:space="preserve"> (grouping data by ISO weeks).</t>
    </r>
  </si>
  <si>
    <r>
      <t>2. Project management</t>
    </r>
    <r>
      <rPr>
        <sz val="11"/>
        <color theme="1"/>
        <rFont val="Aptos Narrow"/>
        <family val="2"/>
        <scheme val="minor"/>
      </rPr>
      <t xml:space="preserve"> (tracking tasks by week numbers).</t>
    </r>
  </si>
  <si>
    <r>
      <t>3. Payroll &amp; HR</t>
    </r>
    <r>
      <rPr>
        <sz val="11"/>
        <color theme="1"/>
        <rFont val="Aptos Narrow"/>
        <family val="2"/>
        <scheme val="minor"/>
      </rPr>
      <t xml:space="preserve"> (weekly salary calculation, attendance).</t>
    </r>
  </si>
  <si>
    <r>
      <t>4. Comparing performance across years</t>
    </r>
    <r>
      <rPr>
        <sz val="11"/>
        <color theme="1"/>
        <rFont val="Aptos Narrow"/>
        <family val="2"/>
        <scheme val="minor"/>
      </rPr>
      <t xml:space="preserve"> using standardized weeks.</t>
    </r>
  </si>
  <si>
    <r>
      <t>5. Time-series analysis</t>
    </r>
    <r>
      <rPr>
        <sz val="11"/>
        <color theme="1"/>
        <rFont val="Aptos Narrow"/>
        <family val="2"/>
        <scheme val="minor"/>
      </rPr>
      <t xml:space="preserve"> when working with </t>
    </r>
    <r>
      <rPr>
        <b/>
        <sz val="11"/>
        <color theme="1"/>
        <rFont val="Aptos Narrow"/>
        <family val="2"/>
        <scheme val="minor"/>
      </rPr>
      <t>week-based calendars</t>
    </r>
    <r>
      <rPr>
        <sz val="11"/>
        <color theme="1"/>
        <rFont val="Aptos Narrow"/>
        <family val="2"/>
        <scheme val="minor"/>
      </rPr>
      <t>.</t>
    </r>
  </si>
  <si>
    <r>
      <t xml:space="preserve">Follows the </t>
    </r>
    <r>
      <rPr>
        <b/>
        <sz val="11"/>
        <color theme="1"/>
        <rFont val="Aptos Narrow"/>
        <family val="2"/>
        <scheme val="minor"/>
      </rPr>
      <t>ISO standard (Monday–Sunday weeks)</t>
    </r>
    <r>
      <rPr>
        <sz val="11"/>
        <color theme="1"/>
        <rFont val="Aptos Narrow"/>
        <family val="2"/>
        <scheme val="minor"/>
      </rPr>
      <t>.</t>
    </r>
  </si>
  <si>
    <t>Always consistent across regions &amp; settings (unlike WEEKNUM which can vary).</t>
  </si>
  <si>
    <r>
      <t xml:space="preserve">Returns values from </t>
    </r>
    <r>
      <rPr>
        <b/>
        <sz val="11"/>
        <color theme="1"/>
        <rFont val="Aptos Narrow"/>
        <family val="2"/>
        <scheme val="minor"/>
      </rPr>
      <t>1 to 53</t>
    </r>
    <r>
      <rPr>
        <sz val="11"/>
        <color theme="1"/>
        <rFont val="Aptos Narrow"/>
        <family val="2"/>
        <scheme val="minor"/>
      </rPr>
      <t>.</t>
    </r>
  </si>
  <si>
    <r>
      <t xml:space="preserve">Great for </t>
    </r>
    <r>
      <rPr>
        <b/>
        <sz val="11"/>
        <color theme="1"/>
        <rFont val="Aptos Narrow"/>
        <family val="2"/>
        <scheme val="minor"/>
      </rPr>
      <t>international reporting</t>
    </r>
    <r>
      <rPr>
        <sz val="11"/>
        <color theme="1"/>
        <rFont val="Aptos Narrow"/>
        <family val="2"/>
        <scheme val="minor"/>
      </rPr>
      <t xml:space="preserve"> where week standards must match.</t>
    </r>
  </si>
  <si>
    <r>
      <t xml:space="preserve">1. Available only in </t>
    </r>
    <r>
      <rPr>
        <b/>
        <sz val="11"/>
        <color theme="1"/>
        <rFont val="Aptos Narrow"/>
        <family val="2"/>
        <scheme val="minor"/>
      </rPr>
      <t>Excel 2013 and later</t>
    </r>
    <r>
      <rPr>
        <sz val="11"/>
        <color theme="1"/>
        <rFont val="Aptos Narrow"/>
        <family val="2"/>
        <scheme val="minor"/>
      </rPr>
      <t xml:space="preserve"> (not in Excel 2010 and earlier).</t>
    </r>
  </si>
  <si>
    <r>
      <t xml:space="preserve">2. Accepts only valid date values → invalid dates return </t>
    </r>
    <r>
      <rPr>
        <sz val="10"/>
        <color theme="1"/>
        <rFont val="Arial Unicode MS"/>
      </rPr>
      <t>#VALUE!</t>
    </r>
    <r>
      <rPr>
        <sz val="11"/>
        <color theme="1"/>
        <rFont val="Aptos Narrow"/>
        <family val="2"/>
        <scheme val="minor"/>
      </rPr>
      <t>.</t>
    </r>
  </si>
  <si>
    <r>
      <t xml:space="preserve">3. Different from </t>
    </r>
    <r>
      <rPr>
        <sz val="10"/>
        <color theme="1"/>
        <rFont val="Arial Unicode MS"/>
      </rPr>
      <t>WEEKNUM</t>
    </r>
    <r>
      <rPr>
        <sz val="11"/>
        <color theme="1"/>
        <rFont val="Aptos Narrow"/>
        <family val="2"/>
        <scheme val="minor"/>
      </rPr>
      <t xml:space="preserve"> (which may start weeks on Sunday or Monday depending on return type).</t>
    </r>
  </si>
  <si>
    <r>
      <t xml:space="preserve">4. Some years have </t>
    </r>
    <r>
      <rPr>
        <b/>
        <sz val="11"/>
        <color theme="1"/>
        <rFont val="Aptos Narrow"/>
        <family val="2"/>
        <scheme val="minor"/>
      </rPr>
      <t>53 weeks</t>
    </r>
    <r>
      <rPr>
        <sz val="11"/>
        <color theme="1"/>
        <rFont val="Aptos Narrow"/>
        <family val="2"/>
        <scheme val="minor"/>
      </rPr>
      <t>, which may create confusion if comparing with normal 52-week reports.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</si>
  <si>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ISOWEEKNUM function</t>
    </r>
    <r>
      <rPr>
        <sz val="11"/>
        <color theme="1"/>
        <rFont val="Aptos Narrow"/>
        <family val="2"/>
        <scheme val="minor"/>
      </rPr>
      <t xml:space="preserve"> is used to calculate </t>
    </r>
    <r>
      <rPr>
        <b/>
        <sz val="11"/>
        <color theme="1"/>
        <rFont val="Aptos Narrow"/>
        <family val="2"/>
        <scheme val="minor"/>
      </rPr>
      <t>ISO standard week numbers</t>
    </r>
    <r>
      <rPr>
        <sz val="11"/>
        <color theme="1"/>
        <rFont val="Aptos Narrow"/>
        <family val="2"/>
        <scheme val="minor"/>
      </rPr>
      <t xml:space="preserve"> in Excel, making it reliable for </t>
    </r>
    <r>
      <rPr>
        <b/>
        <sz val="11"/>
        <color theme="1"/>
        <rFont val="Aptos Narrow"/>
        <family val="2"/>
        <scheme val="minor"/>
      </rPr>
      <t>international, financial, and project-based reporting</t>
    </r>
    <r>
      <rPr>
        <sz val="11"/>
        <color theme="1"/>
        <rFont val="Aptos Narrow"/>
        <family val="2"/>
        <scheme val="minor"/>
      </rPr>
      <t xml:space="preserve"> where consistency of week numbering is critical.</t>
    </r>
  </si>
  <si>
    <t xml:space="preserve"> ISOWEEKNUM Function in Excel</t>
  </si>
  <si>
    <t xml:space="preserve"> Definition</t>
  </si>
  <si>
    <t xml:space="preserve"> ISO 8601 Standard:</t>
  </si>
  <si>
    <r>
      <t xml:space="preserve"> Result: </t>
    </r>
    <r>
      <rPr>
        <b/>
        <sz val="11"/>
        <color theme="1"/>
        <rFont val="Aptos Narrow"/>
        <family val="2"/>
        <scheme val="minor"/>
      </rPr>
      <t>1</t>
    </r>
  </si>
  <si>
    <r>
      <t xml:space="preserve"> Result: </t>
    </r>
    <r>
      <rPr>
        <b/>
        <sz val="11"/>
        <color theme="1"/>
        <rFont val="Aptos Narrow"/>
        <family val="2"/>
        <scheme val="minor"/>
      </rPr>
      <t>11</t>
    </r>
    <r>
      <rPr>
        <sz val="11"/>
        <color theme="1"/>
        <rFont val="Aptos Narrow"/>
        <family val="2"/>
        <scheme val="minor"/>
      </rPr>
      <t xml:space="preserve"> (March 15, 2024 is in the 11th ISO week)</t>
    </r>
  </si>
  <si>
    <r>
      <t xml:space="preserve"> Result: </t>
    </r>
    <r>
      <rPr>
        <b/>
        <sz val="11"/>
        <color theme="1"/>
        <rFont val="Aptos Narrow"/>
        <family val="2"/>
        <scheme val="minor"/>
      </rPr>
      <t>53</t>
    </r>
    <r>
      <rPr>
        <sz val="11"/>
        <color theme="1"/>
        <rFont val="Aptos Narrow"/>
        <family val="2"/>
        <scheme val="minor"/>
      </rPr>
      <t xml:space="preserve"> (2020 had 53 ISO weeks)</t>
    </r>
  </si>
  <si>
    <r>
      <t xml:space="preserve"> Result: </t>
    </r>
    <r>
      <rPr>
        <b/>
        <sz val="11"/>
        <color theme="1"/>
        <rFont val="Aptos Narrow"/>
        <family val="2"/>
        <scheme val="minor"/>
      </rPr>
      <t>53</t>
    </r>
    <r>
      <rPr>
        <sz val="11"/>
        <color theme="1"/>
        <rFont val="Aptos Narrow"/>
        <family val="2"/>
        <scheme val="minor"/>
      </rPr>
      <t xml:space="preserve"> (because Jan 1, 2021 belonged to the last week of 2020’s ISO calendar)</t>
    </r>
  </si>
  <si>
    <r>
      <t xml:space="preserve"> Result: </t>
    </r>
    <r>
      <rPr>
        <b/>
        <sz val="11"/>
        <color theme="1"/>
        <rFont val="Aptos Narrow"/>
        <family val="2"/>
        <scheme val="minor"/>
      </rPr>
      <t>52</t>
    </r>
  </si>
  <si>
    <t xml:space="preserve"> Use Cases</t>
  </si>
  <si>
    <t>Limitations</t>
  </si>
  <si>
    <t xml:space="preserve"> </t>
  </si>
  <si>
    <t>NETWORKDAYS Formula Function In Excel</t>
  </si>
  <si>
    <t>Start Date</t>
  </si>
  <si>
    <t>End date</t>
  </si>
  <si>
    <t>Working Days</t>
  </si>
  <si>
    <t>Month</t>
  </si>
  <si>
    <t>31/31/2025</t>
  </si>
  <si>
    <t>Weekend</t>
  </si>
  <si>
    <t>Sart Date</t>
  </si>
  <si>
    <t>End Date</t>
  </si>
  <si>
    <t>Holiday</t>
  </si>
  <si>
    <t>Monday</t>
  </si>
  <si>
    <t>Tuesday</t>
  </si>
  <si>
    <r>
      <t xml:space="preserve">The </t>
    </r>
    <r>
      <rPr>
        <b/>
        <sz val="11"/>
        <color theme="1"/>
        <rFont val="Aptos Narrow"/>
        <family val="2"/>
        <scheme val="minor"/>
      </rPr>
      <t>NETWORKDAYS function</t>
    </r>
    <r>
      <rPr>
        <sz val="11"/>
        <color theme="1"/>
        <rFont val="Aptos Narrow"/>
        <family val="2"/>
        <scheme val="minor"/>
      </rPr>
      <t xml:space="preserve"> returns the number of </t>
    </r>
    <r>
      <rPr>
        <b/>
        <sz val="11"/>
        <color theme="1"/>
        <rFont val="Aptos Narrow"/>
        <family val="2"/>
        <scheme val="minor"/>
      </rPr>
      <t>working days</t>
    </r>
    <r>
      <rPr>
        <sz val="11"/>
        <color theme="1"/>
        <rFont val="Aptos Narrow"/>
        <family val="2"/>
        <scheme val="minor"/>
      </rPr>
      <t xml:space="preserve"> between two dates.</t>
    </r>
  </si>
  <si>
    <r>
      <t xml:space="preserve">It </t>
    </r>
    <r>
      <rPr>
        <b/>
        <sz val="11"/>
        <color theme="1"/>
        <rFont val="Aptos Narrow"/>
        <family val="2"/>
        <scheme val="minor"/>
      </rPr>
      <t>excludes weekends (Saturday &amp; Sunday by default)</t>
    </r>
    <r>
      <rPr>
        <sz val="11"/>
        <color theme="1"/>
        <rFont val="Aptos Narrow"/>
        <family val="2"/>
        <scheme val="minor"/>
      </rPr>
      <t xml:space="preserve"> and can also exclude </t>
    </r>
    <r>
      <rPr>
        <b/>
        <sz val="11"/>
        <color theme="1"/>
        <rFont val="Aptos Narrow"/>
        <family val="2"/>
        <scheme val="minor"/>
      </rPr>
      <t>holidays</t>
    </r>
    <r>
      <rPr>
        <sz val="11"/>
        <color theme="1"/>
        <rFont val="Aptos Narrow"/>
        <family val="2"/>
        <scheme val="minor"/>
      </rPr>
      <t xml:space="preserve"> if provided.</t>
    </r>
  </si>
  <si>
    <r>
      <t xml:space="preserve">This is often used to calculate </t>
    </r>
    <r>
      <rPr>
        <b/>
        <sz val="11"/>
        <color theme="1"/>
        <rFont val="Aptos Narrow"/>
        <family val="2"/>
        <scheme val="minor"/>
      </rPr>
      <t>employee attendance, project timelines, delivery schedules, and SLAs</t>
    </r>
    <r>
      <rPr>
        <sz val="11"/>
        <color theme="1"/>
        <rFont val="Aptos Narrow"/>
        <family val="2"/>
        <scheme val="minor"/>
      </rPr>
      <t>.</t>
    </r>
  </si>
  <si>
    <t>NETWORKDAYS(start_date, end_date, [holidays])</t>
  </si>
  <si>
    <r>
      <t>start_date</t>
    </r>
    <r>
      <rPr>
        <sz val="11"/>
        <color theme="1"/>
        <rFont val="Aptos Narrow"/>
        <family val="2"/>
        <scheme val="minor"/>
      </rPr>
      <t xml:space="preserve"> → Starting date.</t>
    </r>
  </si>
  <si>
    <r>
      <t>end_date</t>
    </r>
    <r>
      <rPr>
        <sz val="11"/>
        <color theme="1"/>
        <rFont val="Aptos Narrow"/>
        <family val="2"/>
        <scheme val="minor"/>
      </rPr>
      <t xml:space="preserve"> → Ending date.</t>
    </r>
  </si>
  <si>
    <r>
      <t>[holidays]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  <r>
      <rPr>
        <sz val="11"/>
        <color theme="1"/>
        <rFont val="Aptos Narrow"/>
        <family val="2"/>
        <scheme val="minor"/>
      </rPr>
      <t xml:space="preserve"> → A range of one or more dates to exclude (like public holidays).</t>
    </r>
  </si>
  <si>
    <t>1. Working Days Between Two Dates</t>
  </si>
  <si>
    <t>(31 days in Jan 2024 → 8 weekend days = 23 working days)</t>
  </si>
  <si>
    <t>2. Using Cell References</t>
  </si>
  <si>
    <r>
      <t xml:space="preserve">If </t>
    </r>
    <r>
      <rPr>
        <b/>
        <sz val="11"/>
        <color theme="1"/>
        <rFont val="Aptos Narrow"/>
        <family val="2"/>
        <scheme val="minor"/>
      </rPr>
      <t>A1 = 01-Feb-2024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B1 = 28-Feb-2024</t>
    </r>
  </si>
  <si>
    <t>(21 weekdays in Feb 2024)</t>
  </si>
  <si>
    <t>3. Excluding Holidays</t>
  </si>
  <si>
    <r>
      <t xml:space="preserve">If </t>
    </r>
    <r>
      <rPr>
        <b/>
        <sz val="11"/>
        <color theme="1"/>
        <rFont val="Aptos Narrow"/>
        <family val="2"/>
        <scheme val="minor"/>
      </rPr>
      <t>Holidays = {15-Aug-2024, 02-Oct-2024}</t>
    </r>
    <r>
      <rPr>
        <sz val="11"/>
        <color theme="1"/>
        <rFont val="Aptos Narrow"/>
        <family val="2"/>
        <scheme val="minor"/>
      </rPr>
      <t xml:space="preserve"> in range </t>
    </r>
    <r>
      <rPr>
        <b/>
        <sz val="11"/>
        <color theme="1"/>
        <rFont val="Aptos Narrow"/>
        <family val="2"/>
        <scheme val="minor"/>
      </rPr>
      <t>C1:C2</t>
    </r>
  </si>
  <si>
    <t>4. Including the Start and End Dates</t>
  </si>
  <si>
    <t>5. Start Date &gt; End Date</t>
  </si>
  <si>
    <r>
      <t xml:space="preserve">👉 Result: </t>
    </r>
    <r>
      <rPr>
        <b/>
        <sz val="11"/>
        <color theme="1"/>
        <rFont val="Aptos Narrow"/>
        <family val="2"/>
        <scheme val="minor"/>
      </rPr>
      <t>-21</t>
    </r>
    <r>
      <rPr>
        <sz val="11"/>
        <color theme="1"/>
        <rFont val="Aptos Narrow"/>
        <family val="2"/>
        <scheme val="minor"/>
      </rPr>
      <t xml:space="preserve"> (negative value means reversed order)</t>
    </r>
  </si>
  <si>
    <t>6. Leap Year Example</t>
  </si>
  <si>
    <r>
      <t>1. HR / Payroll</t>
    </r>
    <r>
      <rPr>
        <sz val="11"/>
        <color theme="1"/>
        <rFont val="Aptos Narrow"/>
        <family val="2"/>
        <scheme val="minor"/>
      </rPr>
      <t xml:space="preserve"> → Count working days for salary calculation.</t>
    </r>
  </si>
  <si>
    <r>
      <t>2. Project Management</t>
    </r>
    <r>
      <rPr>
        <sz val="11"/>
        <color theme="1"/>
        <rFont val="Aptos Narrow"/>
        <family val="2"/>
        <scheme val="minor"/>
      </rPr>
      <t xml:space="preserve"> → Estimate timelines excluding weekends &amp; holidays.</t>
    </r>
  </si>
  <si>
    <r>
      <t>3. Attendance Tracking</t>
    </r>
    <r>
      <rPr>
        <sz val="11"/>
        <color theme="1"/>
        <rFont val="Aptos Narrow"/>
        <family val="2"/>
        <scheme val="minor"/>
      </rPr>
      <t xml:space="preserve"> → Count working days between joining &amp; exit dates.</t>
    </r>
  </si>
  <si>
    <r>
      <t>4. Delivery SLAs</t>
    </r>
    <r>
      <rPr>
        <sz val="11"/>
        <color theme="1"/>
        <rFont val="Aptos Narrow"/>
        <family val="2"/>
        <scheme val="minor"/>
      </rPr>
      <t xml:space="preserve"> → Calculate business days for customer commitments.</t>
    </r>
  </si>
  <si>
    <r>
      <t>5. Finance</t>
    </r>
    <r>
      <rPr>
        <sz val="11"/>
        <color theme="1"/>
        <rFont val="Aptos Narrow"/>
        <family val="2"/>
        <scheme val="minor"/>
      </rPr>
      <t xml:space="preserve"> → Interest calculations or payment due days excluding holidays.</t>
    </r>
  </si>
  <si>
    <t>Automatically excludes weekends (Sat &amp; Sun).</t>
  </si>
  <si>
    <r>
      <t xml:space="preserve">Can handle </t>
    </r>
    <r>
      <rPr>
        <b/>
        <sz val="11"/>
        <color theme="1"/>
        <rFont val="Aptos Narrow"/>
        <family val="2"/>
        <scheme val="minor"/>
      </rPr>
      <t>holiday lists</t>
    </r>
    <r>
      <rPr>
        <sz val="11"/>
        <color theme="1"/>
        <rFont val="Aptos Narrow"/>
        <family val="2"/>
        <scheme val="minor"/>
      </rPr>
      <t xml:space="preserve"> for accuracy.</t>
    </r>
  </si>
  <si>
    <r>
      <t xml:space="preserve">Returns </t>
    </r>
    <r>
      <rPr>
        <b/>
        <sz val="11"/>
        <color theme="1"/>
        <rFont val="Aptos Narrow"/>
        <family val="2"/>
        <scheme val="minor"/>
      </rPr>
      <t>negative values</t>
    </r>
    <r>
      <rPr>
        <sz val="11"/>
        <color theme="1"/>
        <rFont val="Aptos Narrow"/>
        <family val="2"/>
        <scheme val="minor"/>
      </rPr>
      <t xml:space="preserve"> if start &gt; end.</t>
    </r>
  </si>
  <si>
    <r>
      <t xml:space="preserve">Simple and widely used in </t>
    </r>
    <r>
      <rPr>
        <b/>
        <sz val="11"/>
        <color theme="1"/>
        <rFont val="Aptos Narrow"/>
        <family val="2"/>
        <scheme val="minor"/>
      </rPr>
      <t>corporate reporting</t>
    </r>
    <r>
      <rPr>
        <sz val="11"/>
        <color theme="1"/>
        <rFont val="Aptos Narrow"/>
        <family val="2"/>
        <scheme val="minor"/>
      </rPr>
      <t>.</t>
    </r>
  </si>
  <si>
    <r>
      <t xml:space="preserve">1. Only counts </t>
    </r>
    <r>
      <rPr>
        <b/>
        <sz val="11"/>
        <color theme="1"/>
        <rFont val="Aptos Narrow"/>
        <family val="2"/>
        <scheme val="minor"/>
      </rPr>
      <t>Saturday &amp; Sunday</t>
    </r>
    <r>
      <rPr>
        <sz val="11"/>
        <color theme="1"/>
        <rFont val="Aptos Narrow"/>
        <family val="2"/>
        <scheme val="minor"/>
      </rPr>
      <t xml:space="preserve"> as weekends (cannot customize — use </t>
    </r>
    <r>
      <rPr>
        <sz val="10"/>
        <color theme="1"/>
        <rFont val="Arial Unicode MS"/>
      </rPr>
      <t>NETWORKDAYS.INTL</t>
    </r>
    <r>
      <rPr>
        <sz val="11"/>
        <color theme="1"/>
        <rFont val="Aptos Narrow"/>
        <family val="2"/>
        <scheme val="minor"/>
      </rPr>
      <t xml:space="preserve"> for flexible weekends).</t>
    </r>
  </si>
  <si>
    <r>
      <t xml:space="preserve">2. Requires </t>
    </r>
    <r>
      <rPr>
        <b/>
        <sz val="11"/>
        <color theme="1"/>
        <rFont val="Aptos Narrow"/>
        <family val="2"/>
        <scheme val="minor"/>
      </rPr>
      <t>valid date inputs</t>
    </r>
    <r>
      <rPr>
        <sz val="11"/>
        <color theme="1"/>
        <rFont val="Aptos Narrow"/>
        <family val="2"/>
        <scheme val="minor"/>
      </rPr>
      <t xml:space="preserve"> (otherwise returns </t>
    </r>
    <r>
      <rPr>
        <sz val="10"/>
        <color theme="1"/>
        <rFont val="Arial Unicode MS"/>
      </rPr>
      <t>#VALUE!</t>
    </r>
    <r>
      <rPr>
        <sz val="11"/>
        <color theme="1"/>
        <rFont val="Aptos Narrow"/>
        <family val="2"/>
        <scheme val="minor"/>
      </rPr>
      <t>).</t>
    </r>
  </si>
  <si>
    <r>
      <t xml:space="preserve">3. Holidays must be provided as </t>
    </r>
    <r>
      <rPr>
        <b/>
        <sz val="11"/>
        <color theme="1"/>
        <rFont val="Aptos Narrow"/>
        <family val="2"/>
        <scheme val="minor"/>
      </rPr>
      <t>valid date values</t>
    </r>
    <r>
      <rPr>
        <sz val="11"/>
        <color theme="1"/>
        <rFont val="Aptos Narrow"/>
        <family val="2"/>
        <scheme val="minor"/>
      </rPr>
      <t xml:space="preserve"> (text dates can cause errors).</t>
    </r>
  </si>
  <si>
    <r>
      <t xml:space="preserve">4. Doesn’t consider </t>
    </r>
    <r>
      <rPr>
        <b/>
        <sz val="11"/>
        <color theme="1"/>
        <rFont val="Aptos Narrow"/>
        <family val="2"/>
        <scheme val="minor"/>
      </rPr>
      <t>half-days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shift timings</t>
    </r>
    <r>
      <rPr>
        <sz val="11"/>
        <color theme="1"/>
        <rFont val="Aptos Narrow"/>
        <family val="2"/>
        <scheme val="minor"/>
      </rPr>
      <t xml:space="preserve"> — only full working days.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</si>
  <si>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NETWORKDAYS function</t>
    </r>
    <r>
      <rPr>
        <sz val="11"/>
        <color theme="1"/>
        <rFont val="Aptos Narrow"/>
        <family val="2"/>
        <scheme val="minor"/>
      </rPr>
      <t xml:space="preserve"> is great for calculating </t>
    </r>
    <r>
      <rPr>
        <b/>
        <sz val="11"/>
        <color theme="1"/>
        <rFont val="Aptos Narrow"/>
        <family val="2"/>
        <scheme val="minor"/>
      </rPr>
      <t>business working days</t>
    </r>
    <r>
      <rPr>
        <sz val="11"/>
        <color theme="1"/>
        <rFont val="Aptos Narrow"/>
        <family val="2"/>
        <scheme val="minor"/>
      </rPr>
      <t xml:space="preserve"> between two dates, excluding weekends and optional holidays. For more flexibility (like custom weekends), use </t>
    </r>
    <r>
      <rPr>
        <b/>
        <sz val="11"/>
        <color theme="1"/>
        <rFont val="Aptos Narrow"/>
        <family val="2"/>
        <scheme val="minor"/>
      </rPr>
      <t>NETWORKDAYS.INTL</t>
    </r>
    <r>
      <rPr>
        <sz val="11"/>
        <color theme="1"/>
        <rFont val="Aptos Narrow"/>
        <family val="2"/>
        <scheme val="minor"/>
      </rPr>
      <t>.</t>
    </r>
  </si>
  <si>
    <t>NETWORKDAYS Function in Excel</t>
  </si>
  <si>
    <r>
      <t xml:space="preserve"> Result: </t>
    </r>
    <r>
      <rPr>
        <b/>
        <sz val="11"/>
        <color theme="1"/>
        <rFont val="Aptos Narrow"/>
        <family val="2"/>
        <scheme val="minor"/>
      </rPr>
      <t>64</t>
    </r>
    <r>
      <rPr>
        <sz val="11"/>
        <color theme="1"/>
        <rFont val="Aptos Narrow"/>
        <family val="2"/>
        <scheme val="minor"/>
      </rPr>
      <t xml:space="preserve"> (working days excluding weekends + Independence Day &amp; Gandhi Jayanti)</t>
    </r>
  </si>
  <si>
    <r>
      <t xml:space="preserve">Result: </t>
    </r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(If the date is a weekday and not a holiday, it counts as 1 day)</t>
    </r>
  </si>
  <si>
    <r>
      <t xml:space="preserve">Result: </t>
    </r>
    <r>
      <rPr>
        <b/>
        <sz val="11"/>
        <color theme="1"/>
        <rFont val="Aptos Narrow"/>
        <family val="2"/>
        <scheme val="minor"/>
      </rPr>
      <t>21</t>
    </r>
    <r>
      <rPr>
        <sz val="11"/>
        <color theme="1"/>
        <rFont val="Aptos Narrow"/>
        <family val="2"/>
        <scheme val="minor"/>
      </rPr>
      <t xml:space="preserve"> (Feb 2024 has 29 days, but 8 are weekends)</t>
    </r>
  </si>
  <si>
    <r>
      <t xml:space="preserve"> </t>
    </r>
    <r>
      <rPr>
        <b/>
        <sz val="11"/>
        <color theme="1"/>
        <rFont val="Aptos Narrow"/>
        <family val="2"/>
        <scheme val="minor"/>
      </rPr>
      <t>Summary:</t>
    </r>
  </si>
  <si>
    <t>Friday</t>
  </si>
  <si>
    <t>Saturday</t>
  </si>
  <si>
    <t>Time Formula</t>
  </si>
  <si>
    <t>Hours</t>
  </si>
  <si>
    <t>Minutes</t>
  </si>
  <si>
    <t>Seconds</t>
  </si>
  <si>
    <t xml:space="preserve">Time   </t>
  </si>
  <si>
    <t>TimeValue Function</t>
  </si>
  <si>
    <t>Time</t>
  </si>
  <si>
    <t>Time value</t>
  </si>
  <si>
    <r>
      <t xml:space="preserve">The </t>
    </r>
    <r>
      <rPr>
        <b/>
        <sz val="11"/>
        <color theme="1"/>
        <rFont val="Aptos Narrow"/>
        <family val="2"/>
        <scheme val="minor"/>
      </rPr>
      <t>NETWORKDAYS.INTL function</t>
    </r>
    <r>
      <rPr>
        <sz val="11"/>
        <color theme="1"/>
        <rFont val="Aptos Narrow"/>
        <family val="2"/>
        <scheme val="minor"/>
      </rPr>
      <t xml:space="preserve"> calculates the number of </t>
    </r>
    <r>
      <rPr>
        <b/>
        <sz val="11"/>
        <color theme="1"/>
        <rFont val="Aptos Narrow"/>
        <family val="2"/>
        <scheme val="minor"/>
      </rPr>
      <t>working days</t>
    </r>
    <r>
      <rPr>
        <sz val="11"/>
        <color theme="1"/>
        <rFont val="Aptos Narrow"/>
        <family val="2"/>
        <scheme val="minor"/>
      </rPr>
      <t xml:space="preserve"> between two dates, with the flexibility to </t>
    </r>
    <r>
      <rPr>
        <b/>
        <sz val="11"/>
        <color theme="1"/>
        <rFont val="Aptos Narrow"/>
        <family val="2"/>
        <scheme val="minor"/>
      </rPr>
      <t>define custom weekends</t>
    </r>
    <r>
      <rPr>
        <sz val="11"/>
        <color theme="1"/>
        <rFont val="Aptos Narrow"/>
        <family val="2"/>
        <scheme val="minor"/>
      </rPr>
      <t xml:space="preserve"> (not just Sat-Sun).</t>
    </r>
  </si>
  <si>
    <r>
      <t xml:space="preserve">It can also exclude </t>
    </r>
    <r>
      <rPr>
        <b/>
        <sz val="11"/>
        <color theme="1"/>
        <rFont val="Aptos Narrow"/>
        <family val="2"/>
        <scheme val="minor"/>
      </rPr>
      <t>holidays</t>
    </r>
    <r>
      <rPr>
        <sz val="11"/>
        <color theme="1"/>
        <rFont val="Aptos Narrow"/>
        <family val="2"/>
        <scheme val="minor"/>
      </rPr>
      <t xml:space="preserve"> if provided.</t>
    </r>
  </si>
  <si>
    <t>NETWORKDAYS.INTL(start_date, end_date, [weekend], [holidays])</t>
  </si>
  <si>
    <t>Parameters:</t>
  </si>
  <si>
    <r>
      <t>1. start_date</t>
    </r>
    <r>
      <rPr>
        <sz val="11"/>
        <color theme="1"/>
        <rFont val="Aptos Narrow"/>
        <family val="2"/>
        <scheme val="minor"/>
      </rPr>
      <t xml:space="preserve"> → Starting date.</t>
    </r>
  </si>
  <si>
    <r>
      <t>2. end_date</t>
    </r>
    <r>
      <rPr>
        <sz val="11"/>
        <color theme="1"/>
        <rFont val="Aptos Narrow"/>
        <family val="2"/>
        <scheme val="minor"/>
      </rPr>
      <t xml:space="preserve"> → Ending date.</t>
    </r>
  </si>
  <si>
    <r>
      <t>3. [weekend]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  <r>
      <rPr>
        <sz val="11"/>
        <color theme="1"/>
        <rFont val="Aptos Narrow"/>
        <family val="2"/>
        <scheme val="minor"/>
      </rPr>
      <t xml:space="preserve"> → Defines which days are weekends.</t>
    </r>
  </si>
  <si>
    <r>
      <t xml:space="preserve">Can be a </t>
    </r>
    <r>
      <rPr>
        <b/>
        <sz val="11"/>
        <color theme="1"/>
        <rFont val="Aptos Narrow"/>
        <family val="2"/>
        <scheme val="minor"/>
      </rPr>
      <t>number (1–17)</t>
    </r>
    <r>
      <rPr>
        <sz val="11"/>
        <color theme="1"/>
        <rFont val="Aptos Narrow"/>
        <family val="2"/>
        <scheme val="minor"/>
      </rPr>
      <t xml:space="preserve"> or a </t>
    </r>
    <r>
      <rPr>
        <b/>
        <sz val="11"/>
        <color theme="1"/>
        <rFont val="Aptos Narrow"/>
        <family val="2"/>
        <scheme val="minor"/>
      </rPr>
      <t>7-character string</t>
    </r>
    <r>
      <rPr>
        <sz val="11"/>
        <color theme="1"/>
        <rFont val="Aptos Narrow"/>
        <family val="2"/>
        <scheme val="minor"/>
      </rPr>
      <t xml:space="preserve"> of 1s and 0s.</t>
    </r>
  </si>
  <si>
    <r>
      <t xml:space="preserve">Default = </t>
    </r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(Saturday–Sunday weekend).</t>
    </r>
  </si>
  <si>
    <r>
      <t>4. [holidays]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  <r>
      <rPr>
        <sz val="11"/>
        <color theme="1"/>
        <rFont val="Aptos Narrow"/>
        <family val="2"/>
        <scheme val="minor"/>
      </rPr>
      <t xml:space="preserve"> → Range of one or more dates to exclude.</t>
    </r>
  </si>
  <si>
    <r>
      <t>1</t>
    </r>
    <r>
      <rPr>
        <sz val="11"/>
        <color theme="1"/>
        <rFont val="Aptos Narrow"/>
        <family val="2"/>
        <scheme val="minor"/>
      </rPr>
      <t xml:space="preserve"> → Saturday &amp; Sunday (default)</t>
    </r>
  </si>
  <si>
    <r>
      <t>2</t>
    </r>
    <r>
      <rPr>
        <sz val="11"/>
        <color theme="1"/>
        <rFont val="Aptos Narrow"/>
        <family val="2"/>
        <scheme val="minor"/>
      </rPr>
      <t xml:space="preserve"> → Sunday &amp; Monday</t>
    </r>
  </si>
  <si>
    <r>
      <t>3</t>
    </r>
    <r>
      <rPr>
        <sz val="11"/>
        <color theme="1"/>
        <rFont val="Aptos Narrow"/>
        <family val="2"/>
        <scheme val="minor"/>
      </rPr>
      <t xml:space="preserve"> → Monday &amp; Tuesday</t>
    </r>
  </si>
  <si>
    <r>
      <t>4</t>
    </r>
    <r>
      <rPr>
        <sz val="11"/>
        <color theme="1"/>
        <rFont val="Aptos Narrow"/>
        <family val="2"/>
        <scheme val="minor"/>
      </rPr>
      <t xml:space="preserve"> → Tuesday &amp; Wednesday</t>
    </r>
  </si>
  <si>
    <r>
      <t>5</t>
    </r>
    <r>
      <rPr>
        <sz val="11"/>
        <color theme="1"/>
        <rFont val="Aptos Narrow"/>
        <family val="2"/>
        <scheme val="minor"/>
      </rPr>
      <t xml:space="preserve"> → Wednesday &amp; Thursday</t>
    </r>
  </si>
  <si>
    <r>
      <t>6</t>
    </r>
    <r>
      <rPr>
        <sz val="11"/>
        <color theme="1"/>
        <rFont val="Aptos Narrow"/>
        <family val="2"/>
        <scheme val="minor"/>
      </rPr>
      <t xml:space="preserve"> → Thursday &amp; Friday</t>
    </r>
  </si>
  <si>
    <r>
      <t>7</t>
    </r>
    <r>
      <rPr>
        <sz val="11"/>
        <color theme="1"/>
        <rFont val="Aptos Narrow"/>
        <family val="2"/>
        <scheme val="minor"/>
      </rPr>
      <t xml:space="preserve"> → Friday &amp; Saturday</t>
    </r>
  </si>
  <si>
    <r>
      <t>11</t>
    </r>
    <r>
      <rPr>
        <sz val="11"/>
        <color theme="1"/>
        <rFont val="Aptos Narrow"/>
        <family val="2"/>
        <scheme val="minor"/>
      </rPr>
      <t xml:space="preserve"> → Sunday only</t>
    </r>
  </si>
  <si>
    <r>
      <t>12</t>
    </r>
    <r>
      <rPr>
        <sz val="11"/>
        <color theme="1"/>
        <rFont val="Aptos Narrow"/>
        <family val="2"/>
        <scheme val="minor"/>
      </rPr>
      <t xml:space="preserve"> → Monday only</t>
    </r>
  </si>
  <si>
    <r>
      <t>13</t>
    </r>
    <r>
      <rPr>
        <sz val="11"/>
        <color theme="1"/>
        <rFont val="Aptos Narrow"/>
        <family val="2"/>
        <scheme val="minor"/>
      </rPr>
      <t xml:space="preserve"> → Tuesday only</t>
    </r>
  </si>
  <si>
    <r>
      <t>14</t>
    </r>
    <r>
      <rPr>
        <sz val="11"/>
        <color theme="1"/>
        <rFont val="Aptos Narrow"/>
        <family val="2"/>
        <scheme val="minor"/>
      </rPr>
      <t xml:space="preserve"> → Wednesday only</t>
    </r>
  </si>
  <si>
    <r>
      <t>15</t>
    </r>
    <r>
      <rPr>
        <sz val="11"/>
        <color theme="1"/>
        <rFont val="Aptos Narrow"/>
        <family val="2"/>
        <scheme val="minor"/>
      </rPr>
      <t xml:space="preserve"> → Thursday only</t>
    </r>
  </si>
  <si>
    <r>
      <t>16</t>
    </r>
    <r>
      <rPr>
        <sz val="11"/>
        <color theme="1"/>
        <rFont val="Aptos Narrow"/>
        <family val="2"/>
        <scheme val="minor"/>
      </rPr>
      <t xml:space="preserve"> → Friday only</t>
    </r>
  </si>
  <si>
    <r>
      <t>17</t>
    </r>
    <r>
      <rPr>
        <sz val="11"/>
        <color theme="1"/>
        <rFont val="Aptos Narrow"/>
        <family val="2"/>
        <scheme val="minor"/>
      </rPr>
      <t xml:space="preserve"> → Saturday only</t>
    </r>
  </si>
  <si>
    <r>
      <t xml:space="preserve">Instead of codes, you can use a </t>
    </r>
    <r>
      <rPr>
        <b/>
        <sz val="11"/>
        <color theme="1"/>
        <rFont val="Aptos Narrow"/>
        <family val="2"/>
        <scheme val="minor"/>
      </rPr>
      <t>7-character string of 1s and 0s</t>
    </r>
    <r>
      <rPr>
        <sz val="11"/>
        <color theme="1"/>
        <rFont val="Aptos Narrow"/>
        <family val="2"/>
        <scheme val="minor"/>
      </rPr>
      <t>, where:</t>
    </r>
  </si>
  <si>
    <t>1 = Weekend (non-working day)</t>
  </si>
  <si>
    <t>0 = Working day</t>
  </si>
  <si>
    <t>Order = Monday → Sunday</t>
  </si>
  <si>
    <t>👉 Example:</t>
  </si>
  <si>
    <r>
      <t>"0000011"</t>
    </r>
    <r>
      <rPr>
        <sz val="11"/>
        <color theme="1"/>
        <rFont val="Aptos Narrow"/>
        <family val="2"/>
        <scheme val="minor"/>
      </rPr>
      <t xml:space="preserve"> → Saturday &amp; Sunday weekend (default).</t>
    </r>
  </si>
  <si>
    <r>
      <t>"1000000"</t>
    </r>
    <r>
      <rPr>
        <sz val="11"/>
        <color theme="1"/>
        <rFont val="Aptos Narrow"/>
        <family val="2"/>
        <scheme val="minor"/>
      </rPr>
      <t xml:space="preserve"> → Monday only is weekend.</t>
    </r>
  </si>
  <si>
    <r>
      <t>"0000001"</t>
    </r>
    <r>
      <rPr>
        <sz val="11"/>
        <color theme="1"/>
        <rFont val="Aptos Narrow"/>
        <family val="2"/>
        <scheme val="minor"/>
      </rPr>
      <t xml:space="preserve"> → Sunday only is weekend.</t>
    </r>
  </si>
  <si>
    <t>1. Default (Sat-Sun weekends)</t>
  </si>
  <si>
    <t>2. Custom Weekend (Friday &amp; Saturday)</t>
  </si>
  <si>
    <t>3. Only Sunday as Weekend</t>
  </si>
  <si>
    <t>4. Custom String (Weekend = Mon &amp; Tue)</t>
  </si>
  <si>
    <t>5. Excluding Holidays</t>
  </si>
  <si>
    <r>
      <t xml:space="preserve">If </t>
    </r>
    <r>
      <rPr>
        <b/>
        <sz val="11"/>
        <color theme="1"/>
        <rFont val="Aptos Narrow"/>
        <family val="2"/>
        <scheme val="minor"/>
      </rPr>
      <t>Holidays in C1:C2 = {26-Jan-2024, 15-Aug-2024}</t>
    </r>
  </si>
  <si>
    <t>6. Start &gt; End Date</t>
  </si>
  <si>
    <r>
      <t>1. Middle East countries</t>
    </r>
    <r>
      <rPr>
        <sz val="11"/>
        <color theme="1"/>
        <rFont val="Aptos Narrow"/>
        <family val="2"/>
        <scheme val="minor"/>
      </rPr>
      <t xml:space="preserve"> (Fri-Sat weekends).</t>
    </r>
  </si>
  <si>
    <r>
      <t>2. Companies with non-standard weekends</t>
    </r>
    <r>
      <rPr>
        <sz val="11"/>
        <color theme="1"/>
        <rFont val="Aptos Narrow"/>
        <family val="2"/>
        <scheme val="minor"/>
      </rPr>
      <t xml:space="preserve"> (e.g., only Sunday off).</t>
    </r>
  </si>
  <si>
    <r>
      <t>3. Shift-based work schedules</t>
    </r>
    <r>
      <rPr>
        <sz val="11"/>
        <color theme="1"/>
        <rFont val="Aptos Narrow"/>
        <family val="2"/>
        <scheme val="minor"/>
      </rPr>
      <t>.</t>
    </r>
  </si>
  <si>
    <r>
      <t>4. Project deadlines</t>
    </r>
    <r>
      <rPr>
        <sz val="11"/>
        <color theme="1"/>
        <rFont val="Aptos Narrow"/>
        <family val="2"/>
        <scheme val="minor"/>
      </rPr>
      <t xml:space="preserve"> excluding custom weekends &amp; holidays.</t>
    </r>
  </si>
  <si>
    <r>
      <t>5. Global payroll</t>
    </r>
    <r>
      <rPr>
        <sz val="11"/>
        <color theme="1"/>
        <rFont val="Aptos Narrow"/>
        <family val="2"/>
        <scheme val="minor"/>
      </rPr>
      <t xml:space="preserve"> with different weekend rules.</t>
    </r>
  </si>
  <si>
    <r>
      <t xml:space="preserve">More flexible than </t>
    </r>
    <r>
      <rPr>
        <sz val="10"/>
        <color theme="1"/>
        <rFont val="Arial Unicode MS"/>
      </rPr>
      <t>NETWORKDAYS</t>
    </r>
    <r>
      <rPr>
        <sz val="11"/>
        <color theme="1"/>
        <rFont val="Aptos Narrow"/>
        <family val="2"/>
        <scheme val="minor"/>
      </rPr>
      <t>.</t>
    </r>
  </si>
  <si>
    <r>
      <t xml:space="preserve">Supports </t>
    </r>
    <r>
      <rPr>
        <b/>
        <sz val="11"/>
        <color theme="1"/>
        <rFont val="Aptos Narrow"/>
        <family val="2"/>
        <scheme val="minor"/>
      </rPr>
      <t>custom weekend patterns</t>
    </r>
    <r>
      <rPr>
        <sz val="11"/>
        <color theme="1"/>
        <rFont val="Aptos Narrow"/>
        <family val="2"/>
        <scheme val="minor"/>
      </rPr>
      <t>.</t>
    </r>
  </si>
  <si>
    <r>
      <t xml:space="preserve">Works with </t>
    </r>
    <r>
      <rPr>
        <b/>
        <sz val="11"/>
        <color theme="1"/>
        <rFont val="Aptos Narrow"/>
        <family val="2"/>
        <scheme val="minor"/>
      </rPr>
      <t>holiday lists</t>
    </r>
    <r>
      <rPr>
        <sz val="11"/>
        <color theme="1"/>
        <rFont val="Aptos Narrow"/>
        <family val="2"/>
        <scheme val="minor"/>
      </rPr>
      <t>.</t>
    </r>
  </si>
  <si>
    <r>
      <t xml:space="preserve">Handles </t>
    </r>
    <r>
      <rPr>
        <b/>
        <sz val="11"/>
        <color theme="1"/>
        <rFont val="Aptos Narrow"/>
        <family val="2"/>
        <scheme val="minor"/>
      </rPr>
      <t>negative results</t>
    </r>
    <r>
      <rPr>
        <sz val="11"/>
        <color theme="1"/>
        <rFont val="Aptos Narrow"/>
        <family val="2"/>
        <scheme val="minor"/>
      </rPr>
      <t xml:space="preserve"> if start &gt; end.</t>
    </r>
  </si>
  <si>
    <t>⚠️ Limitations</t>
  </si>
  <si>
    <r>
      <t xml:space="preserve">1. Only available in </t>
    </r>
    <r>
      <rPr>
        <b/>
        <sz val="11"/>
        <color theme="1"/>
        <rFont val="Aptos Narrow"/>
        <family val="2"/>
        <scheme val="minor"/>
      </rPr>
      <t>Excel 2010 and later</t>
    </r>
    <r>
      <rPr>
        <sz val="11"/>
        <color theme="1"/>
        <rFont val="Aptos Narrow"/>
        <family val="2"/>
        <scheme val="minor"/>
      </rPr>
      <t>.</t>
    </r>
  </si>
  <si>
    <t>2. Requires correct weekend codes or 7-character strings (easy to make mistakes).</t>
  </si>
  <si>
    <r>
      <t xml:space="preserve">3. Still only counts </t>
    </r>
    <r>
      <rPr>
        <b/>
        <sz val="11"/>
        <color theme="1"/>
        <rFont val="Aptos Narrow"/>
        <family val="2"/>
        <scheme val="minor"/>
      </rPr>
      <t>full days</t>
    </r>
    <r>
      <rPr>
        <sz val="11"/>
        <color theme="1"/>
        <rFont val="Aptos Narrow"/>
        <family val="2"/>
        <scheme val="minor"/>
      </rPr>
      <t xml:space="preserve"> (no half-day handling).</t>
    </r>
  </si>
  <si>
    <t>4. Needs holidays explicitly listed — doesn’t auto-detect country calendars.</t>
  </si>
  <si>
    <r>
      <t xml:space="preserve">The </t>
    </r>
    <r>
      <rPr>
        <b/>
        <sz val="11"/>
        <color theme="1"/>
        <rFont val="Aptos Narrow"/>
        <family val="2"/>
        <scheme val="minor"/>
      </rPr>
      <t>NETWORKDAYS.INTL function</t>
    </r>
    <r>
      <rPr>
        <sz val="11"/>
        <color theme="1"/>
        <rFont val="Aptos Narrow"/>
        <family val="2"/>
        <scheme val="minor"/>
      </rPr>
      <t xml:space="preserve"> is a </t>
    </r>
    <r>
      <rPr>
        <b/>
        <sz val="11"/>
        <color theme="1"/>
        <rFont val="Aptos Narrow"/>
        <family val="2"/>
        <scheme val="minor"/>
      </rPr>
      <t>powerful upgrade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NETWORKDAYS</t>
    </r>
    <r>
      <rPr>
        <sz val="11"/>
        <color theme="1"/>
        <rFont val="Aptos Narrow"/>
        <family val="2"/>
        <scheme val="minor"/>
      </rPr>
      <t xml:space="preserve">, allowing you to define </t>
    </r>
    <r>
      <rPr>
        <b/>
        <sz val="11"/>
        <color theme="1"/>
        <rFont val="Aptos Narrow"/>
        <family val="2"/>
        <scheme val="minor"/>
      </rPr>
      <t>any weekend structure</t>
    </r>
    <r>
      <rPr>
        <sz val="11"/>
        <color theme="1"/>
        <rFont val="Aptos Narrow"/>
        <family val="2"/>
        <scheme val="minor"/>
      </rPr>
      <t xml:space="preserve"> (single-day, two-day, or custom pattern). Perfect for </t>
    </r>
    <r>
      <rPr>
        <b/>
        <sz val="11"/>
        <color theme="1"/>
        <rFont val="Aptos Narrow"/>
        <family val="2"/>
        <scheme val="minor"/>
      </rPr>
      <t>global teams, HR, and project planning</t>
    </r>
    <r>
      <rPr>
        <sz val="11"/>
        <color theme="1"/>
        <rFont val="Aptos Narrow"/>
        <family val="2"/>
        <scheme val="minor"/>
      </rPr>
      <t>.</t>
    </r>
  </si>
  <si>
    <t xml:space="preserve"> NETWORKDAYS.INTL Function in Excel</t>
  </si>
  <si>
    <t xml:space="preserve"> Weekend Codes</t>
  </si>
  <si>
    <t xml:space="preserve"> Alternative Method: 7-Character String</t>
  </si>
  <si>
    <r>
      <t xml:space="preserve"> Result: </t>
    </r>
    <r>
      <rPr>
        <b/>
        <sz val="11"/>
        <color theme="1"/>
        <rFont val="Aptos Narrow"/>
        <family val="2"/>
        <scheme val="minor"/>
      </rPr>
      <t>23</t>
    </r>
  </si>
  <si>
    <r>
      <t xml:space="preserve"> Result: </t>
    </r>
    <r>
      <rPr>
        <b/>
        <sz val="11"/>
        <color theme="1"/>
        <rFont val="Aptos Narrow"/>
        <family val="2"/>
        <scheme val="minor"/>
      </rPr>
      <t>23</t>
    </r>
    <r>
      <rPr>
        <sz val="11"/>
        <color theme="1"/>
        <rFont val="Aptos Narrow"/>
        <family val="2"/>
        <scheme val="minor"/>
      </rPr>
      <t xml:space="preserve"> (because weekends are Fri &amp; Sat instead of Sat &amp; Sun)</t>
    </r>
  </si>
  <si>
    <r>
      <t xml:space="preserve"> Result: </t>
    </r>
    <r>
      <rPr>
        <b/>
        <sz val="11"/>
        <color theme="1"/>
        <rFont val="Aptos Narrow"/>
        <family val="2"/>
        <scheme val="minor"/>
      </rPr>
      <t>27</t>
    </r>
  </si>
  <si>
    <r>
      <t xml:space="preserve"> Result: </t>
    </r>
    <r>
      <rPr>
        <b/>
        <sz val="11"/>
        <color theme="1"/>
        <rFont val="Aptos Narrow"/>
        <family val="2"/>
        <scheme val="minor"/>
      </rPr>
      <t>22</t>
    </r>
  </si>
  <si>
    <r>
      <t xml:space="preserve"> Result: </t>
    </r>
    <r>
      <rPr>
        <b/>
        <sz val="11"/>
        <color theme="1"/>
        <rFont val="Aptos Narrow"/>
        <family val="2"/>
        <scheme val="minor"/>
      </rPr>
      <t>-23</t>
    </r>
  </si>
  <si>
    <t>09:50:40</t>
  </si>
  <si>
    <t>Date in Text Format</t>
  </si>
  <si>
    <t>Date in Value Format</t>
  </si>
  <si>
    <t>3/11/2025</t>
  </si>
  <si>
    <t>3-4-2025</t>
  </si>
  <si>
    <r>
      <rPr>
        <sz val="20"/>
        <color rgb="FFFF0000"/>
        <rFont val="Aptos Narrow"/>
        <family val="2"/>
        <scheme val="minor"/>
      </rPr>
      <t>DATE Value Function</t>
    </r>
    <r>
      <rPr>
        <sz val="20"/>
        <color theme="1"/>
        <rFont val="Aptos Narrow"/>
        <family val="2"/>
        <scheme val="minor"/>
      </rPr>
      <t xml:space="preserve"> In Excel</t>
    </r>
  </si>
  <si>
    <t>Weekday Function In Excel</t>
  </si>
  <si>
    <t>Week Day</t>
  </si>
  <si>
    <t>Sunday</t>
  </si>
  <si>
    <t>Wednesday</t>
  </si>
  <si>
    <t>Thursday</t>
  </si>
  <si>
    <t>Frieday</t>
  </si>
  <si>
    <t>Only text formated text convert</t>
  </si>
  <si>
    <t>WEEKDAY Function in Excel</t>
  </si>
  <si>
    <r>
      <t xml:space="preserve">The </t>
    </r>
    <r>
      <rPr>
        <b/>
        <sz val="11"/>
        <color theme="1"/>
        <rFont val="Aptos Narrow"/>
        <family val="2"/>
        <scheme val="minor"/>
      </rPr>
      <t>WEEKDAY function</t>
    </r>
    <r>
      <rPr>
        <sz val="11"/>
        <color theme="1"/>
        <rFont val="Aptos Narrow"/>
        <family val="2"/>
        <scheme val="minor"/>
      </rPr>
      <t xml:space="preserve"> in Excel returns a number (1–7) representing the day of the week for a given date.</t>
    </r>
  </si>
  <si>
    <t>It is useful when you want to know whether a date falls on a Monday, Tuesday, etc.</t>
  </si>
  <si>
    <t>WEEKDAY(serial_number, [return_type])</t>
  </si>
  <si>
    <r>
      <t>serial_number</t>
    </r>
    <r>
      <rPr>
        <sz val="11"/>
        <color theme="1"/>
        <rFont val="Aptos Narrow"/>
        <family val="2"/>
        <scheme val="minor"/>
      </rPr>
      <t xml:space="preserve"> → The date you want to evaluate.</t>
    </r>
  </si>
  <si>
    <r>
      <t>return_type</t>
    </r>
    <r>
      <rPr>
        <sz val="11"/>
        <color theme="1"/>
        <rFont val="Aptos Narrow"/>
        <family val="2"/>
        <scheme val="minor"/>
      </rPr>
      <t xml:space="preserve"> → (Optional) A number that determines which day is considered the first day of the week.</t>
    </r>
  </si>
  <si>
    <t>Return Types</t>
  </si>
  <si>
    <t>Return_type</t>
  </si>
  <si>
    <t>Numbers Returned</t>
  </si>
  <si>
    <t>1 (Default)</t>
  </si>
  <si>
    <t>1 = Sunday, 2 = Monday … 7 = Saturday</t>
  </si>
  <si>
    <t>Week starts on Sunday</t>
  </si>
  <si>
    <t>1 = Monday, 2 = Tuesday … 7 = Sunday</t>
  </si>
  <si>
    <t>Week starts on Monday</t>
  </si>
  <si>
    <t>0 = Monday, 1 = Tuesday … 6 = Sunday</t>
  </si>
  <si>
    <t>Examples</t>
  </si>
  <si>
    <t>Example 1: Basic Usage</t>
  </si>
  <si>
    <t>Example 2: Week Starting from Monday</t>
  </si>
  <si>
    <t>Example 3: Custom Numbering</t>
  </si>
  <si>
    <t>Example 4: With Cell Reference</t>
  </si>
  <si>
    <r>
      <t xml:space="preserve">If </t>
    </r>
    <r>
      <rPr>
        <b/>
        <sz val="11"/>
        <color theme="1"/>
        <rFont val="Aptos Narrow"/>
        <family val="2"/>
        <scheme val="minor"/>
      </rPr>
      <t>A1 = 01-Jan-2025</t>
    </r>
  </si>
  <si>
    <t>Use Cases</t>
  </si>
  <si>
    <r>
      <t xml:space="preserve">Checking if a date falls on </t>
    </r>
    <r>
      <rPr>
        <b/>
        <sz val="11"/>
        <color theme="1"/>
        <rFont val="Aptos Narrow"/>
        <family val="2"/>
        <scheme val="minor"/>
      </rPr>
      <t>weekend or weekday</t>
    </r>
    <r>
      <rPr>
        <sz val="11"/>
        <color theme="1"/>
        <rFont val="Aptos Narrow"/>
        <family val="2"/>
        <scheme val="minor"/>
      </rPr>
      <t>.</t>
    </r>
  </si>
  <si>
    <r>
      <t xml:space="preserve">Building </t>
    </r>
    <r>
      <rPr>
        <b/>
        <sz val="11"/>
        <color theme="1"/>
        <rFont val="Aptos Narrow"/>
        <family val="2"/>
        <scheme val="minor"/>
      </rPr>
      <t>attendance or payroll systems</t>
    </r>
    <r>
      <rPr>
        <sz val="11"/>
        <color theme="1"/>
        <rFont val="Aptos Narrow"/>
        <family val="2"/>
        <scheme val="minor"/>
      </rPr>
      <t xml:space="preserve"> where weekends are off.</t>
    </r>
  </si>
  <si>
    <r>
      <t xml:space="preserve">Creating </t>
    </r>
    <r>
      <rPr>
        <b/>
        <sz val="11"/>
        <color theme="1"/>
        <rFont val="Aptos Narrow"/>
        <family val="2"/>
        <scheme val="minor"/>
      </rPr>
      <t>conditional formatting</t>
    </r>
    <r>
      <rPr>
        <sz val="11"/>
        <color theme="1"/>
        <rFont val="Aptos Narrow"/>
        <family val="2"/>
        <scheme val="minor"/>
      </rPr>
      <t xml:space="preserve"> (e.g., highlight weekends).</t>
    </r>
  </si>
  <si>
    <t>Financial models where you need to calculate working/business days.</t>
  </si>
  <si>
    <t>Features</t>
  </si>
  <si>
    <t>✅ Simple and quick way to identify the day of the week.</t>
  </si>
  <si>
    <t>✅ Flexible return types (Sunday or Monday start).</t>
  </si>
  <si>
    <t>✅ Works with both hardcoded dates and cell references.</t>
  </si>
  <si>
    <r>
      <t xml:space="preserve">❌ Only gives </t>
    </r>
    <r>
      <rPr>
        <b/>
        <sz val="11"/>
        <color theme="1"/>
        <rFont val="Aptos Narrow"/>
        <family val="2"/>
        <scheme val="minor"/>
      </rPr>
      <t>numeric output</t>
    </r>
    <r>
      <rPr>
        <sz val="11"/>
        <color theme="1"/>
        <rFont val="Aptos Narrow"/>
        <family val="2"/>
        <scheme val="minor"/>
      </rPr>
      <t xml:space="preserve">, not day names (use </t>
    </r>
    <r>
      <rPr>
        <sz val="10"/>
        <color theme="1"/>
        <rFont val="Arial Unicode MS"/>
      </rPr>
      <t>TEXT(date,"dddd")</t>
    </r>
    <r>
      <rPr>
        <sz val="11"/>
        <color theme="1"/>
        <rFont val="Aptos Narrow"/>
        <family val="2"/>
        <scheme val="minor"/>
      </rPr>
      <t xml:space="preserve"> to get names).</t>
    </r>
  </si>
  <si>
    <r>
      <t xml:space="preserve">❌ Different </t>
    </r>
    <r>
      <rPr>
        <sz val="10"/>
        <color theme="1"/>
        <rFont val="Arial Unicode MS"/>
      </rPr>
      <t>return_type</t>
    </r>
    <r>
      <rPr>
        <sz val="11"/>
        <color theme="1"/>
        <rFont val="Aptos Narrow"/>
        <family val="2"/>
        <scheme val="minor"/>
      </rPr>
      <t xml:space="preserve"> values can be confusing.</t>
    </r>
  </si>
  <si>
    <r>
      <t xml:space="preserve">❌ Not suitable for calculating business days (use </t>
    </r>
    <r>
      <rPr>
        <sz val="10"/>
        <color theme="1"/>
        <rFont val="Arial Unicode MS"/>
      </rPr>
      <t>NETWORKDAYS</t>
    </r>
    <r>
      <rPr>
        <sz val="11"/>
        <color theme="1"/>
        <rFont val="Aptos Narrow"/>
        <family val="2"/>
        <scheme val="minor"/>
      </rPr>
      <t xml:space="preserve"> instead).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</si>
  <si>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A1 = 25-Aug-2025</t>
    </r>
    <r>
      <rPr>
        <sz val="11"/>
        <color theme="1"/>
        <rFont val="Aptos Narrow"/>
        <family val="2"/>
        <scheme val="minor"/>
      </rPr>
      <t xml:space="preserve">, it returns </t>
    </r>
    <r>
      <rPr>
        <b/>
        <sz val="11"/>
        <color theme="1"/>
        <rFont val="Aptos Narrow"/>
        <family val="2"/>
        <scheme val="minor"/>
      </rPr>
      <t>"Monday"</t>
    </r>
    <r>
      <rPr>
        <sz val="11"/>
        <color theme="1"/>
        <rFont val="Aptos Narrow"/>
        <family val="2"/>
        <scheme val="minor"/>
      </rPr>
      <t>.</t>
    </r>
  </si>
  <si>
    <r>
      <t xml:space="preserve"> Returns </t>
    </r>
    <r>
      <rPr>
        <b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(Monday) if default return_type = 1.</t>
    </r>
  </si>
  <si>
    <r>
      <t xml:space="preserve">Returns </t>
    </r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(because 25-Aug-2025 is Monday, and week starts from Monday).</t>
    </r>
  </si>
  <si>
    <r>
      <t xml:space="preserve"> Returns </t>
    </r>
    <r>
      <rPr>
        <b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 xml:space="preserve"> (because Monday = 0 in this numbering system).</t>
    </r>
  </si>
  <si>
    <r>
      <t xml:space="preserve"> Returns </t>
    </r>
    <r>
      <rPr>
        <b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(since 1-Jan-2025 is Wednesday, and Sunday = 1).</t>
    </r>
  </si>
  <si>
    <t xml:space="preserve"> Example for Day Name instead of number:</t>
  </si>
  <si>
    <t>Weeknum Function In Excel</t>
  </si>
  <si>
    <t>Septmber</t>
  </si>
  <si>
    <t>Octomber</t>
  </si>
  <si>
    <t>WeekNumber</t>
  </si>
  <si>
    <t>311/12/2025</t>
  </si>
  <si>
    <t>Workday Function In Excel</t>
  </si>
  <si>
    <t>Workday</t>
  </si>
  <si>
    <r>
      <t xml:space="preserve">The </t>
    </r>
    <r>
      <rPr>
        <sz val="10"/>
        <color theme="1"/>
        <rFont val="Arial Unicode MS"/>
      </rPr>
      <t>WEEKNUM</t>
    </r>
    <r>
      <rPr>
        <sz val="11"/>
        <color theme="1"/>
        <rFont val="Aptos Narrow"/>
        <family val="2"/>
        <scheme val="minor"/>
      </rPr>
      <t xml:space="preserve"> function in Excel returns the </t>
    </r>
    <r>
      <rPr>
        <b/>
        <sz val="11"/>
        <color theme="1"/>
        <rFont val="Aptos Narrow"/>
        <family val="2"/>
        <scheme val="minor"/>
      </rPr>
      <t>week number of a given date</t>
    </r>
    <r>
      <rPr>
        <sz val="11"/>
        <color theme="1"/>
        <rFont val="Aptos Narrow"/>
        <family val="2"/>
        <scheme val="minor"/>
      </rPr>
      <t>, based on the week system you choose.</t>
    </r>
  </si>
  <si>
    <t>It helps track which week of the year a particular date falls into.</t>
  </si>
  <si>
    <t>WEEKNUM(serial_number, [return_type])</t>
  </si>
  <si>
    <r>
      <t>serial_number</t>
    </r>
    <r>
      <rPr>
        <sz val="11"/>
        <color theme="1"/>
        <rFont val="Aptos Narrow"/>
        <family val="2"/>
        <scheme val="minor"/>
      </rPr>
      <t xml:space="preserve"> → The date you want to find the week number for.</t>
    </r>
  </si>
  <si>
    <r>
      <t>return_type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  <r>
      <rPr>
        <sz val="11"/>
        <color theme="1"/>
        <rFont val="Aptos Narrow"/>
        <family val="2"/>
        <scheme val="minor"/>
      </rPr>
      <t xml:space="preserve"> → Defines the starting day of the week and which numbering system is used.</t>
    </r>
  </si>
  <si>
    <r>
      <t xml:space="preserve">If omitted, the default is </t>
    </r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(week starts on Sunday).</t>
    </r>
  </si>
  <si>
    <t>Week Starts On</t>
  </si>
  <si>
    <t>Numbering System</t>
  </si>
  <si>
    <t>Week 1 is Jan 1 – Dec 31 (default)</t>
  </si>
  <si>
    <t>Same as above but starts Monday</t>
  </si>
  <si>
    <t>ISO system (Week 1 = first week with Thursday in it)</t>
  </si>
  <si>
    <t>Non-standard</t>
  </si>
  <si>
    <t>Example 1: Basic Use</t>
  </si>
  <si>
    <t>(January 15, 2025, falls in the 3rd week of the year when starting from Sunday).</t>
  </si>
  <si>
    <t>Example 2: Week Starting on Monday</t>
  </si>
  <si>
    <t>(If the week starts on Monday, still week 3 in this case).</t>
  </si>
  <si>
    <t>Example 3: ISO Week System</t>
  </si>
  <si>
    <t>(Jan 1, 2025, is in the first ISO week).</t>
  </si>
  <si>
    <t>Example 4: Using a Cell Reference</t>
  </si>
  <si>
    <r>
      <t xml:space="preserve">If </t>
    </r>
    <r>
      <rPr>
        <b/>
        <sz val="11"/>
        <color theme="1"/>
        <rFont val="Aptos Narrow"/>
        <family val="2"/>
        <scheme val="minor"/>
      </rPr>
      <t>A1 = 28-Feb-2025</t>
    </r>
    <r>
      <rPr>
        <sz val="11"/>
        <color theme="1"/>
        <rFont val="Aptos Narrow"/>
        <family val="2"/>
        <scheme val="minor"/>
      </rPr>
      <t>:</t>
    </r>
  </si>
  <si>
    <t>Example 5: Start Week on Friday</t>
  </si>
  <si>
    <t>(If weeks start on Friday, Jan 3 is in week 2).</t>
  </si>
  <si>
    <t>Project management (to track weekly tasks &amp; deadlines).</t>
  </si>
  <si>
    <t>Payroll &amp; HR systems (assigning weekly pay periods).</t>
  </si>
  <si>
    <t>Sales &amp; finance reports (grouping transactions by week).</t>
  </si>
  <si>
    <t>Academic or training schedules (weekly tracking).</t>
  </si>
  <si>
    <t>Works with different week systems (Sunday/Monday/ISO).</t>
  </si>
  <si>
    <r>
      <t xml:space="preserve">Easy to combine with other functions like </t>
    </r>
    <r>
      <rPr>
        <sz val="10"/>
        <color theme="1"/>
        <rFont val="Arial Unicode MS"/>
      </rPr>
      <t>TEXT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EOMONTH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NETWORKDAYS</t>
    </r>
    <r>
      <rPr>
        <sz val="11"/>
        <color theme="1"/>
        <rFont val="Aptos Narrow"/>
        <family val="2"/>
        <scheme val="minor"/>
      </rPr>
      <t>.</t>
    </r>
  </si>
  <si>
    <r>
      <t xml:space="preserve">Can be used in dashboards for </t>
    </r>
    <r>
      <rPr>
        <b/>
        <sz val="11"/>
        <color theme="1"/>
        <rFont val="Aptos Narrow"/>
        <family val="2"/>
        <scheme val="minor"/>
      </rPr>
      <t>weekly aggregation</t>
    </r>
    <r>
      <rPr>
        <sz val="11"/>
        <color theme="1"/>
        <rFont val="Aptos Narrow"/>
        <family val="2"/>
        <scheme val="minor"/>
      </rPr>
      <t>.</t>
    </r>
  </si>
  <si>
    <t>Different return types can cause confusion if not standardized.</t>
  </si>
  <si>
    <r>
      <t xml:space="preserve">ISO week calculation works only with </t>
    </r>
    <r>
      <rPr>
        <b/>
        <sz val="11"/>
        <color theme="1"/>
        <rFont val="Aptos Narrow"/>
        <family val="2"/>
        <scheme val="minor"/>
      </rPr>
      <t>return_type = 11</t>
    </r>
    <r>
      <rPr>
        <sz val="11"/>
        <color theme="1"/>
        <rFont val="Aptos Narrow"/>
        <family val="2"/>
        <scheme val="minor"/>
      </rPr>
      <t>.</t>
    </r>
  </si>
  <si>
    <t>Week numbers reset each year (not continuous across years).</t>
  </si>
  <si>
    <t>Doesn’t account for fiscal year weeks directly (needs formulas).</t>
  </si>
  <si>
    <t xml:space="preserve"> WEEKNUM Function in Excel</t>
  </si>
  <si>
    <t>Return Type Options</t>
  </si>
  <si>
    <r>
      <t xml:space="preserve"> Returns </t>
    </r>
    <r>
      <rPr>
        <b/>
        <sz val="11"/>
        <color theme="1"/>
        <rFont val="Aptos Narrow"/>
        <family val="2"/>
        <scheme val="minor"/>
      </rPr>
      <t>3</t>
    </r>
  </si>
  <si>
    <r>
      <t xml:space="preserve"> Returns </t>
    </r>
    <r>
      <rPr>
        <b/>
        <sz val="11"/>
        <color theme="1"/>
        <rFont val="Aptos Narrow"/>
        <family val="2"/>
        <scheme val="minor"/>
      </rPr>
      <t>1</t>
    </r>
  </si>
  <si>
    <r>
      <t xml:space="preserve"> Returns </t>
    </r>
    <r>
      <rPr>
        <b/>
        <sz val="11"/>
        <color theme="1"/>
        <rFont val="Aptos Narrow"/>
        <family val="2"/>
        <scheme val="minor"/>
      </rPr>
      <t>9</t>
    </r>
    <r>
      <rPr>
        <sz val="11"/>
        <color theme="1"/>
        <rFont val="Aptos Narrow"/>
        <family val="2"/>
        <scheme val="minor"/>
      </rPr>
      <t xml:space="preserve"> (9th week of the year).</t>
    </r>
  </si>
  <si>
    <r>
      <t xml:space="preserve"> Returns </t>
    </r>
    <r>
      <rPr>
        <b/>
        <sz val="11"/>
        <color theme="1"/>
        <rFont val="Aptos Narrow"/>
        <family val="2"/>
        <scheme val="minor"/>
      </rPr>
      <t>2</t>
    </r>
  </si>
  <si>
    <r>
      <t xml:space="preserve">Here’s a complete explanation of the </t>
    </r>
    <r>
      <rPr>
        <b/>
        <sz val="11"/>
        <color theme="1"/>
        <rFont val="Aptos Narrow"/>
        <family val="2"/>
        <scheme val="minor"/>
      </rPr>
      <t>WORKDAY function in Excel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definition, syntax, examples, use cases, features, and limitations</t>
    </r>
    <r>
      <rPr>
        <sz val="11"/>
        <color theme="1"/>
        <rFont val="Aptos Narrow"/>
        <family val="2"/>
        <scheme val="minor"/>
      </rPr>
      <t>: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</si>
  <si>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WORKDAY function</t>
    </r>
    <r>
      <rPr>
        <sz val="11"/>
        <color theme="1"/>
        <rFont val="Aptos Narrow"/>
        <family val="2"/>
        <scheme val="minor"/>
      </rPr>
      <t xml:space="preserve"> in Excel is used to calculate a future or past </t>
    </r>
    <r>
      <rPr>
        <b/>
        <sz val="11"/>
        <color theme="1"/>
        <rFont val="Aptos Narrow"/>
        <family val="2"/>
        <scheme val="minor"/>
      </rPr>
      <t>working day</t>
    </r>
    <r>
      <rPr>
        <sz val="11"/>
        <color theme="1"/>
        <rFont val="Aptos Narrow"/>
        <family val="2"/>
        <scheme val="minor"/>
      </rPr>
      <t xml:space="preserve"> based on a given start date. It excludes weekends (Saturday and Sunday by default) and optionally excludes holidays.</t>
    </r>
  </si>
  <si>
    <t>WORKDAY(start_date, days, [holidays])</t>
  </si>
  <si>
    <r>
      <t>start_date</t>
    </r>
    <r>
      <rPr>
        <sz val="11"/>
        <color theme="1"/>
        <rFont val="Aptos Narrow"/>
        <family val="2"/>
        <scheme val="minor"/>
      </rPr>
      <t xml:space="preserve"> → The starting date.</t>
    </r>
  </si>
  <si>
    <r>
      <t>days</t>
    </r>
    <r>
      <rPr>
        <sz val="11"/>
        <color theme="1"/>
        <rFont val="Aptos Narrow"/>
        <family val="2"/>
        <scheme val="minor"/>
      </rPr>
      <t xml:space="preserve"> → The number of working days to add (can be negative to go backward).</t>
    </r>
  </si>
  <si>
    <r>
      <t>holidays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  <r>
      <rPr>
        <sz val="11"/>
        <color theme="1"/>
        <rFont val="Aptos Narrow"/>
        <family val="2"/>
        <scheme val="minor"/>
      </rPr>
      <t xml:space="preserve"> → A range of dates that should be excluded (e.g., national holidays, company holidays).</t>
    </r>
  </si>
  <si>
    <t>Example 1: Simple Working Day Calculation</t>
  </si>
  <si>
    <t>Example 2: With Holidays</t>
  </si>
  <si>
    <t>If holidays are on 6-Jan-2025 and 13-Jan-2025:</t>
  </si>
  <si>
    <t>Example 3: Negative Days (Going Backward)</t>
  </si>
  <si>
    <t>Example 4: Using a Cell Reference for Holidays</t>
  </si>
  <si>
    <r>
      <t xml:space="preserve">If holidays are listed in </t>
    </r>
    <r>
      <rPr>
        <b/>
        <sz val="11"/>
        <color theme="1"/>
        <rFont val="Aptos Narrow"/>
        <family val="2"/>
        <scheme val="minor"/>
      </rPr>
      <t>C2:C4</t>
    </r>
    <r>
      <rPr>
        <sz val="11"/>
        <color theme="1"/>
        <rFont val="Aptos Narrow"/>
        <family val="2"/>
        <scheme val="minor"/>
      </rPr>
      <t>, formula:</t>
    </r>
  </si>
  <si>
    <t>Where:</t>
  </si>
  <si>
    <t>A2 = Start date → "01-Jan-2025"</t>
  </si>
  <si>
    <t>B2 = 20 (working days to add)</t>
  </si>
  <si>
    <t>C2:C4 = Holiday list</t>
  </si>
  <si>
    <r>
      <t>1. Project Deadlines</t>
    </r>
    <r>
      <rPr>
        <sz val="11"/>
        <color theme="1"/>
        <rFont val="Aptos Narrow"/>
        <family val="2"/>
        <scheme val="minor"/>
      </rPr>
      <t xml:space="preserve"> → Calculate the project completion date excluding weekends/holidays.</t>
    </r>
  </si>
  <si>
    <r>
      <t>2. Employee Payroll</t>
    </r>
    <r>
      <rPr>
        <sz val="11"/>
        <color theme="1"/>
        <rFont val="Aptos Narrow"/>
        <family val="2"/>
        <scheme val="minor"/>
      </rPr>
      <t xml:space="preserve"> → Determine next working day for salary processing.</t>
    </r>
  </si>
  <si>
    <r>
      <t>3. Logistics</t>
    </r>
    <r>
      <rPr>
        <sz val="11"/>
        <color theme="1"/>
        <rFont val="Aptos Narrow"/>
        <family val="2"/>
        <scheme val="minor"/>
      </rPr>
      <t xml:space="preserve"> → Estimate delivery dates based on business days only.</t>
    </r>
  </si>
  <si>
    <r>
      <t>4. Leave Planning</t>
    </r>
    <r>
      <rPr>
        <sz val="11"/>
        <color theme="1"/>
        <rFont val="Aptos Narrow"/>
        <family val="2"/>
        <scheme val="minor"/>
      </rPr>
      <t xml:space="preserve"> → Exclude weekends &amp; holidays when calculating return dates.</t>
    </r>
  </si>
  <si>
    <r>
      <t>5. Contracts</t>
    </r>
    <r>
      <rPr>
        <sz val="11"/>
        <color theme="1"/>
        <rFont val="Aptos Narrow"/>
        <family val="2"/>
        <scheme val="minor"/>
      </rPr>
      <t xml:space="preserve"> → Set due dates for payments or tasks in working days.</t>
    </r>
  </si>
  <si>
    <r>
      <t xml:space="preserve">Excludes </t>
    </r>
    <r>
      <rPr>
        <b/>
        <sz val="11"/>
        <color theme="1"/>
        <rFont val="Aptos Narrow"/>
        <family val="2"/>
        <scheme val="minor"/>
      </rPr>
      <t>weekends</t>
    </r>
    <r>
      <rPr>
        <sz val="11"/>
        <color theme="1"/>
        <rFont val="Aptos Narrow"/>
        <family val="2"/>
        <scheme val="minor"/>
      </rPr>
      <t xml:space="preserve"> automatically.</t>
    </r>
  </si>
  <si>
    <r>
      <t xml:space="preserve">Can handle </t>
    </r>
    <r>
      <rPr>
        <b/>
        <sz val="11"/>
        <color theme="1"/>
        <rFont val="Aptos Narrow"/>
        <family val="2"/>
        <scheme val="minor"/>
      </rPr>
      <t>custom holidays</t>
    </r>
    <r>
      <rPr>
        <sz val="11"/>
        <color theme="1"/>
        <rFont val="Aptos Narrow"/>
        <family val="2"/>
        <scheme val="minor"/>
      </rPr>
      <t>.</t>
    </r>
  </si>
  <si>
    <r>
      <t xml:space="preserve">Supports </t>
    </r>
    <r>
      <rPr>
        <b/>
        <sz val="11"/>
        <color theme="1"/>
        <rFont val="Aptos Narrow"/>
        <family val="2"/>
        <scheme val="minor"/>
      </rPr>
      <t>negative values</t>
    </r>
    <r>
      <rPr>
        <sz val="11"/>
        <color theme="1"/>
        <rFont val="Aptos Narrow"/>
        <family val="2"/>
        <scheme val="minor"/>
      </rPr>
      <t xml:space="preserve"> to calculate backward working days.</t>
    </r>
  </si>
  <si>
    <r>
      <t xml:space="preserve">Useful in </t>
    </r>
    <r>
      <rPr>
        <b/>
        <sz val="11"/>
        <color theme="1"/>
        <rFont val="Aptos Narrow"/>
        <family val="2"/>
        <scheme val="minor"/>
      </rPr>
      <t>financial, HR, and project management</t>
    </r>
    <r>
      <rPr>
        <sz val="11"/>
        <color theme="1"/>
        <rFont val="Aptos Narrow"/>
        <family val="2"/>
        <scheme val="minor"/>
      </rPr>
      <t xml:space="preserve"> tasks.</t>
    </r>
  </si>
  <si>
    <r>
      <t xml:space="preserve">❌ Only excludes </t>
    </r>
    <r>
      <rPr>
        <b/>
        <sz val="11"/>
        <color theme="1"/>
        <rFont val="Aptos Narrow"/>
        <family val="2"/>
        <scheme val="minor"/>
      </rPr>
      <t>Saturday and Sunday</t>
    </r>
    <r>
      <rPr>
        <sz val="11"/>
        <color theme="1"/>
        <rFont val="Aptos Narrow"/>
        <family val="2"/>
        <scheme val="minor"/>
      </rPr>
      <t xml:space="preserve"> by default (cannot customize weekends here – use </t>
    </r>
    <r>
      <rPr>
        <sz val="10"/>
        <color theme="1"/>
        <rFont val="Arial Unicode MS"/>
      </rPr>
      <t>WORKDAY.INTL</t>
    </r>
    <r>
      <rPr>
        <sz val="11"/>
        <color theme="1"/>
        <rFont val="Aptos Narrow"/>
        <family val="2"/>
        <scheme val="minor"/>
      </rPr>
      <t xml:space="preserve"> instead).</t>
    </r>
  </si>
  <si>
    <t>❌ Requires holiday list to be provided separately.</t>
  </si>
  <si>
    <r>
      <t xml:space="preserve">❌ Returns only </t>
    </r>
    <r>
      <rPr>
        <b/>
        <sz val="11"/>
        <color theme="1"/>
        <rFont val="Aptos Narrow"/>
        <family val="2"/>
        <scheme val="minor"/>
      </rPr>
      <t>dates</t>
    </r>
    <r>
      <rPr>
        <sz val="11"/>
        <color theme="1"/>
        <rFont val="Aptos Narrow"/>
        <family val="2"/>
        <scheme val="minor"/>
      </rPr>
      <t>, not time.</t>
    </r>
  </si>
  <si>
    <t>❌ Not available in very old versions of Excel (before Excel 2007).</t>
  </si>
  <si>
    <r>
      <t xml:space="preserve"> It is commonly used for </t>
    </r>
    <r>
      <rPr>
        <b/>
        <sz val="11"/>
        <color theme="1"/>
        <rFont val="Aptos Narrow"/>
        <family val="2"/>
        <scheme val="minor"/>
      </rPr>
      <t>project planning, due dates, employee shifts, and business schedules</t>
    </r>
    <r>
      <rPr>
        <sz val="11"/>
        <color theme="1"/>
        <rFont val="Aptos Narrow"/>
        <family val="2"/>
        <scheme val="minor"/>
      </rPr>
      <t>.</t>
    </r>
  </si>
  <si>
    <r>
      <t xml:space="preserve"> Returns </t>
    </r>
    <r>
      <rPr>
        <b/>
        <sz val="11"/>
        <color theme="1"/>
        <rFont val="Aptos Narrow"/>
        <family val="2"/>
        <scheme val="minor"/>
      </rPr>
      <t>15-Jan-2025</t>
    </r>
    <r>
      <rPr>
        <sz val="11"/>
        <color theme="1"/>
        <rFont val="Aptos Narrow"/>
        <family val="2"/>
        <scheme val="minor"/>
      </rPr>
      <t xml:space="preserve"> (10 working days after Jan 1, excluding weekends).</t>
    </r>
  </si>
  <si>
    <r>
      <t xml:space="preserve"> Returns </t>
    </r>
    <r>
      <rPr>
        <b/>
        <sz val="11"/>
        <color theme="1"/>
        <rFont val="Aptos Narrow"/>
        <family val="2"/>
        <scheme val="minor"/>
      </rPr>
      <t>17-Jan-2025</t>
    </r>
    <r>
      <rPr>
        <sz val="11"/>
        <color theme="1"/>
        <rFont val="Aptos Narrow"/>
        <family val="2"/>
        <scheme val="minor"/>
      </rPr>
      <t xml:space="preserve"> (because holidays are skipped along with weekends).</t>
    </r>
  </si>
  <si>
    <r>
      <t xml:space="preserve"> Returns </t>
    </r>
    <r>
      <rPr>
        <b/>
        <sz val="11"/>
        <color theme="1"/>
        <rFont val="Aptos Narrow"/>
        <family val="2"/>
        <scheme val="minor"/>
      </rPr>
      <t>08-Jan-2025</t>
    </r>
    <r>
      <rPr>
        <sz val="11"/>
        <color theme="1"/>
        <rFont val="Aptos Narrow"/>
        <family val="2"/>
        <scheme val="minor"/>
      </rPr>
      <t xml:space="preserve"> (5 working days before Jan 15).</t>
    </r>
  </si>
  <si>
    <t xml:space="preserve"> Gives the 20th working day after Jan 1, skipping weekends + holidays.</t>
  </si>
  <si>
    <t xml:space="preserve"> Real-Life Use Cases</t>
  </si>
  <si>
    <r>
      <t xml:space="preserve">If you want </t>
    </r>
    <r>
      <rPr>
        <b/>
        <sz val="11"/>
        <color theme="1"/>
        <rFont val="Aptos Narrow"/>
        <family val="2"/>
        <scheme val="minor"/>
      </rPr>
      <t>custom weekends</t>
    </r>
    <r>
      <rPr>
        <sz val="11"/>
        <color theme="1"/>
        <rFont val="Aptos Narrow"/>
        <family val="2"/>
        <scheme val="minor"/>
      </rPr>
      <t xml:space="preserve"> (e.g., Friday-Saturday off instead of Saturday-Sunday), you should use </t>
    </r>
    <r>
      <rPr>
        <b/>
        <sz val="10"/>
        <color theme="1"/>
        <rFont val="Arial Unicode MS"/>
      </rPr>
      <t>WORKDAY.INTL</t>
    </r>
    <r>
      <rPr>
        <sz val="11"/>
        <color theme="1"/>
        <rFont val="Aptos Narrow"/>
        <family val="2"/>
        <scheme val="minor"/>
      </rPr>
      <t>.</t>
    </r>
  </si>
  <si>
    <t>Workday.Intl</t>
  </si>
  <si>
    <r>
      <t xml:space="preserve">The </t>
    </r>
    <r>
      <rPr>
        <sz val="10"/>
        <color theme="1"/>
        <rFont val="Arial Unicode MS"/>
      </rPr>
      <t>WORKDAY.INTL</t>
    </r>
    <r>
      <rPr>
        <sz val="11"/>
        <color theme="1"/>
        <rFont val="Aptos Narrow"/>
        <family val="2"/>
        <scheme val="minor"/>
      </rPr>
      <t xml:space="preserve"> function in Excel returns a date that is a given number of working days before or after a start date.</t>
    </r>
  </si>
  <si>
    <r>
      <t xml:space="preserve">It allows you to </t>
    </r>
    <r>
      <rPr>
        <b/>
        <sz val="11"/>
        <color theme="1"/>
        <rFont val="Aptos Narrow"/>
        <family val="2"/>
        <scheme val="minor"/>
      </rPr>
      <t>customize weekends</t>
    </r>
    <r>
      <rPr>
        <sz val="11"/>
        <color theme="1"/>
        <rFont val="Aptos Narrow"/>
        <family val="2"/>
        <scheme val="minor"/>
      </rPr>
      <t xml:space="preserve"> (not only Sat-Sun, but any days) and exclude holidays.</t>
    </r>
  </si>
  <si>
    <t>=WORKDAY.INTL(start_date, days, [weekend], [holidays])</t>
  </si>
  <si>
    <t>Arguments</t>
  </si>
  <si>
    <r>
      <t>1. start_date</t>
    </r>
    <r>
      <rPr>
        <sz val="11"/>
        <color theme="1"/>
        <rFont val="Aptos Narrow"/>
        <family val="2"/>
        <scheme val="minor"/>
      </rPr>
      <t xml:space="preserve"> → The starting date.</t>
    </r>
  </si>
  <si>
    <r>
      <t>2. days</t>
    </r>
    <r>
      <rPr>
        <sz val="11"/>
        <color theme="1"/>
        <rFont val="Aptos Narrow"/>
        <family val="2"/>
        <scheme val="minor"/>
      </rPr>
      <t xml:space="preserve"> → Number of working days to add (positive for future, negative for past).</t>
    </r>
  </si>
  <si>
    <r>
      <t>3. weekend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  <r>
      <rPr>
        <sz val="11"/>
        <color theme="1"/>
        <rFont val="Aptos Narrow"/>
        <family val="2"/>
        <scheme val="minor"/>
      </rPr>
      <t xml:space="preserve"> → Defines which days are weekends.</t>
    </r>
  </si>
  <si>
    <r>
      <t xml:space="preserve">Can use numbers (1–7) or a </t>
    </r>
    <r>
      <rPr>
        <b/>
        <sz val="11"/>
        <color theme="1"/>
        <rFont val="Aptos Narrow"/>
        <family val="2"/>
        <scheme val="minor"/>
      </rPr>
      <t>7-character string of 1s &amp; 0s</t>
    </r>
    <r>
      <rPr>
        <sz val="11"/>
        <color theme="1"/>
        <rFont val="Aptos Narrow"/>
        <family val="2"/>
        <scheme val="minor"/>
      </rPr>
      <t>.</t>
    </r>
  </si>
  <si>
    <r>
      <t xml:space="preserve">Example: </t>
    </r>
    <r>
      <rPr>
        <sz val="10"/>
        <color theme="1"/>
        <rFont val="Arial Unicode MS"/>
      </rPr>
      <t>"0000011"</t>
    </r>
    <r>
      <rPr>
        <sz val="11"/>
        <color theme="1"/>
        <rFont val="Aptos Narrow"/>
        <family val="2"/>
        <scheme val="minor"/>
      </rPr>
      <t xml:space="preserve"> → weekend is Saturday &amp; Sunday.</t>
    </r>
  </si>
  <si>
    <r>
      <t>4. holidays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  <r>
      <rPr>
        <sz val="11"/>
        <color theme="1"/>
        <rFont val="Aptos Narrow"/>
        <family val="2"/>
        <scheme val="minor"/>
      </rPr>
      <t xml:space="preserve"> → A range of one or more dates to be excluded.</t>
    </r>
  </si>
  <si>
    <t>Code</t>
  </si>
  <si>
    <t>Weekend Days</t>
  </si>
  <si>
    <t>Saturday, Sunday (default)</t>
  </si>
  <si>
    <t>Sunday, Monday</t>
  </si>
  <si>
    <t>Monday, Tuesday</t>
  </si>
  <si>
    <t>Tuesday, Wednesday</t>
  </si>
  <si>
    <t>Wednesday, Thursday</t>
  </si>
  <si>
    <t>Thursday, Friday</t>
  </si>
  <si>
    <t>Friday, Saturday</t>
  </si>
  <si>
    <t>Sunday only</t>
  </si>
  <si>
    <t>Monday only</t>
  </si>
  <si>
    <t>…</t>
  </si>
  <si>
    <t>(and so on up to 17)</t>
  </si>
  <si>
    <r>
      <t xml:space="preserve">OR use </t>
    </r>
    <r>
      <rPr>
        <b/>
        <sz val="11"/>
        <color theme="1"/>
        <rFont val="Aptos Narrow"/>
        <family val="2"/>
        <scheme val="minor"/>
      </rPr>
      <t>binary string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</rPr>
      <t>"0000011"</t>
    </r>
    <r>
      <rPr>
        <sz val="11"/>
        <color theme="1"/>
        <rFont val="Aptos Narrow"/>
        <family val="2"/>
        <scheme val="minor"/>
      </rPr>
      <t xml:space="preserve"> → Sat &amp; Sun weekend, </t>
    </r>
    <r>
      <rPr>
        <sz val="10"/>
        <color theme="1"/>
        <rFont val="Arial Unicode MS"/>
      </rPr>
      <t>"1000001"</t>
    </r>
    <r>
      <rPr>
        <sz val="11"/>
        <color theme="1"/>
        <rFont val="Aptos Narrow"/>
        <family val="2"/>
        <scheme val="minor"/>
      </rPr>
      <t xml:space="preserve"> → Sun &amp; Sat weekends.</t>
    </r>
  </si>
  <si>
    <t>(10 working days after Jan 1, skipping Sat &amp; Sun).</t>
  </si>
  <si>
    <t>Example 2: With Custom Weekend (Fri &amp; Sat)</t>
  </si>
  <si>
    <t>Example 3: With Holidays</t>
  </si>
  <si>
    <r>
      <t xml:space="preserve">If holidays are in range </t>
    </r>
    <r>
      <rPr>
        <sz val="10"/>
        <color theme="1"/>
        <rFont val="Arial Unicode MS"/>
      </rPr>
      <t>F2:F3</t>
    </r>
    <r>
      <rPr>
        <sz val="11"/>
        <color theme="1"/>
        <rFont val="Aptos Narrow"/>
        <family val="2"/>
        <scheme val="minor"/>
      </rPr>
      <t xml:space="preserve"> → (e.g., 10-Jan-2025, 14-Jan-2025)</t>
    </r>
  </si>
  <si>
    <t>Example 4: Negative Days (Past Dates)</t>
  </si>
  <si>
    <t>Example 5: Using Weekend String</t>
  </si>
  <si>
    <r>
      <t>1. Project Management</t>
    </r>
    <r>
      <rPr>
        <sz val="11"/>
        <color theme="1"/>
        <rFont val="Aptos Narrow"/>
        <family val="2"/>
        <scheme val="minor"/>
      </rPr>
      <t xml:space="preserve"> → Calculate end dates excluding custom weekends &amp; holidays.</t>
    </r>
  </si>
  <si>
    <r>
      <t>2. Payroll &amp; HR</t>
    </r>
    <r>
      <rPr>
        <sz val="11"/>
        <color theme="1"/>
        <rFont val="Aptos Narrow"/>
        <family val="2"/>
        <scheme val="minor"/>
      </rPr>
      <t xml:space="preserve"> → Find joining or leaving dates adjusted to working days.</t>
    </r>
  </si>
  <si>
    <r>
      <t>3. Banking/Finance</t>
    </r>
    <r>
      <rPr>
        <sz val="11"/>
        <color theme="1"/>
        <rFont val="Aptos Narrow"/>
        <family val="2"/>
        <scheme val="minor"/>
      </rPr>
      <t xml:space="preserve"> → Skip non-business days (e.g., market holidays).</t>
    </r>
  </si>
  <si>
    <r>
      <t>4. Manufacturing</t>
    </r>
    <r>
      <rPr>
        <sz val="11"/>
        <color theme="1"/>
        <rFont val="Aptos Narrow"/>
        <family val="2"/>
        <scheme val="minor"/>
      </rPr>
      <t xml:space="preserve"> → Shift planning excluding company-specific weekends.</t>
    </r>
  </si>
  <si>
    <r>
      <t>5. Scheduling</t>
    </r>
    <r>
      <rPr>
        <sz val="11"/>
        <color theme="1"/>
        <rFont val="Aptos Narrow"/>
        <family val="2"/>
        <scheme val="minor"/>
      </rPr>
      <t xml:space="preserve"> → Plan deadlines considering custom weekend rules.</t>
    </r>
  </si>
  <si>
    <r>
      <t xml:space="preserve">More flexible than </t>
    </r>
    <r>
      <rPr>
        <sz val="10"/>
        <color theme="1"/>
        <rFont val="Arial Unicode MS"/>
      </rPr>
      <t>WORKDAY</t>
    </r>
    <r>
      <rPr>
        <sz val="11"/>
        <color theme="1"/>
        <rFont val="Aptos Narrow"/>
        <family val="2"/>
        <scheme val="minor"/>
      </rPr>
      <t>.</t>
    </r>
  </si>
  <si>
    <r>
      <t xml:space="preserve">Supports </t>
    </r>
    <r>
      <rPr>
        <b/>
        <sz val="11"/>
        <color theme="1"/>
        <rFont val="Aptos Narrow"/>
        <family val="2"/>
        <scheme val="minor"/>
      </rPr>
      <t>custom weekends</t>
    </r>
    <r>
      <rPr>
        <sz val="11"/>
        <color theme="1"/>
        <rFont val="Aptos Narrow"/>
        <family val="2"/>
        <scheme val="minor"/>
      </rPr>
      <t>.</t>
    </r>
  </si>
  <si>
    <r>
      <t xml:space="preserve">Accepts </t>
    </r>
    <r>
      <rPr>
        <b/>
        <sz val="11"/>
        <color theme="1"/>
        <rFont val="Aptos Narrow"/>
        <family val="2"/>
        <scheme val="minor"/>
      </rPr>
      <t>holiday ranges</t>
    </r>
    <r>
      <rPr>
        <sz val="11"/>
        <color theme="1"/>
        <rFont val="Aptos Narrow"/>
        <family val="2"/>
        <scheme val="minor"/>
      </rPr>
      <t>.</t>
    </r>
  </si>
  <si>
    <r>
      <t xml:space="preserve">Works with </t>
    </r>
    <r>
      <rPr>
        <b/>
        <sz val="11"/>
        <color theme="1"/>
        <rFont val="Aptos Narrow"/>
        <family val="2"/>
        <scheme val="minor"/>
      </rPr>
      <t>positive &amp; negative days</t>
    </r>
    <r>
      <rPr>
        <sz val="11"/>
        <color theme="1"/>
        <rFont val="Aptos Narrow"/>
        <family val="2"/>
        <scheme val="minor"/>
      </rPr>
      <t>.</t>
    </r>
  </si>
  <si>
    <t>Requires proper weekend code understanding.</t>
  </si>
  <si>
    <t>Binary string format can be confusing.</t>
  </si>
  <si>
    <r>
      <t xml:space="preserve">Cannot handle </t>
    </r>
    <r>
      <rPr>
        <b/>
        <sz val="11"/>
        <color theme="1"/>
        <rFont val="Aptos Narrow"/>
        <family val="2"/>
        <scheme val="minor"/>
      </rPr>
      <t>half-day work</t>
    </r>
    <r>
      <rPr>
        <sz val="11"/>
        <color theme="1"/>
        <rFont val="Aptos Narrow"/>
        <family val="2"/>
        <scheme val="minor"/>
      </rPr>
      <t>.</t>
    </r>
  </si>
  <si>
    <t>Limited to date calculations (no time).</t>
  </si>
  <si>
    <t xml:space="preserve"> WORKDAY.INTL Function in Excel</t>
  </si>
  <si>
    <r>
      <t xml:space="preserve"> Returns </t>
    </r>
    <r>
      <rPr>
        <b/>
        <sz val="11"/>
        <color theme="1"/>
        <rFont val="Aptos Narrow"/>
        <family val="2"/>
        <scheme val="minor"/>
      </rPr>
      <t>15-Jan-2025</t>
    </r>
  </si>
  <si>
    <r>
      <t xml:space="preserve"> Excludes </t>
    </r>
    <r>
      <rPr>
        <b/>
        <sz val="11"/>
        <color theme="1"/>
        <rFont val="Aptos Narrow"/>
        <family val="2"/>
        <scheme val="minor"/>
      </rPr>
      <t>Friday &amp; Saturday</t>
    </r>
    <r>
      <rPr>
        <sz val="11"/>
        <color theme="1"/>
        <rFont val="Aptos Narrow"/>
        <family val="2"/>
        <scheme val="minor"/>
      </rPr>
      <t xml:space="preserve"> as weekends.</t>
    </r>
  </si>
  <si>
    <t xml:space="preserve"> Skips Sat-Sun and holidays → result pushed further.</t>
  </si>
  <si>
    <r>
      <t xml:space="preserve">Returns </t>
    </r>
    <r>
      <rPr>
        <b/>
        <sz val="11"/>
        <color theme="1"/>
        <rFont val="Aptos Narrow"/>
        <family val="2"/>
        <scheme val="minor"/>
      </rPr>
      <t>08-Jan-2025</t>
    </r>
    <r>
      <rPr>
        <sz val="11"/>
        <color theme="1"/>
        <rFont val="Aptos Narrow"/>
        <family val="2"/>
        <scheme val="minor"/>
      </rPr>
      <t xml:space="preserve"> (5 working days back).</t>
    </r>
  </si>
  <si>
    <t xml:space="preserve"> Same as default Sat-Sun weekend.</t>
  </si>
  <si>
    <t xml:space="preserve"> Weekends = Mon–Fri → Only Sat &amp; Sun counted as workdays.</t>
  </si>
  <si>
    <r>
      <t xml:space="preserve">In short: </t>
    </r>
    <r>
      <rPr>
        <sz val="10"/>
        <color theme="1"/>
        <rFont val="Arial Unicode MS"/>
      </rPr>
      <t>WORKDAY.INTL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WORKDAY + weekend flexibility</t>
    </r>
    <r>
      <rPr>
        <sz val="11"/>
        <color theme="1"/>
        <rFont val="Aptos Narrow"/>
        <family val="2"/>
        <scheme val="minor"/>
      </rPr>
      <t xml:space="preserve"> 🚀</t>
    </r>
  </si>
  <si>
    <t>Over Time</t>
  </si>
  <si>
    <t>Over Time Calculation</t>
  </si>
  <si>
    <t>Date 29/03/2024</t>
  </si>
  <si>
    <t>Name</t>
  </si>
  <si>
    <t>Office in Time</t>
  </si>
  <si>
    <t>Office Out Time</t>
  </si>
  <si>
    <t>Workinng Hours</t>
  </si>
  <si>
    <t>David</t>
  </si>
  <si>
    <t>Sabor</t>
  </si>
  <si>
    <t>Bob</t>
  </si>
  <si>
    <t>Emily</t>
  </si>
  <si>
    <t>Micheal</t>
  </si>
  <si>
    <t>Sarah</t>
  </si>
  <si>
    <t>Lisa</t>
  </si>
  <si>
    <t>Kevin</t>
  </si>
  <si>
    <t>Michalen</t>
  </si>
  <si>
    <t>without am pm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</si>
</sst>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b/>
      <sz val="18"/>
      <color theme="1"/>
      <name val="Aptos Narrow"/>
      <family val="2"/>
      <scheme val="minor"/>
    </font>
    <font>
      <b/>
      <sz val="18"/>
      <color theme="6"/>
      <name val="Aptos Narrow"/>
      <family val="2"/>
      <scheme val="minor"/>
    </font>
    <font>
      <b/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15" fontId="6" fillId="0" borderId="0" xfId="0" applyNumberFormat="1" applyFont="1" applyAlignment="1">
      <alignment vertical="center" wrapText="1"/>
    </xf>
    <xf numFmtId="14" fontId="6" fillId="0" borderId="0" xfId="0" applyNumberFormat="1" applyFont="1" applyAlignment="1">
      <alignment vertical="center"/>
    </xf>
    <xf numFmtId="0" fontId="1" fillId="2" borderId="1" xfId="0" applyFont="1" applyFill="1" applyBorder="1"/>
    <xf numFmtId="0" fontId="6" fillId="0" borderId="0" xfId="0" applyFont="1"/>
    <xf numFmtId="0" fontId="9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6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center"/>
    </xf>
    <xf numFmtId="164" fontId="0" fillId="0" borderId="1" xfId="0" applyNumberFormat="1" applyBorder="1"/>
    <xf numFmtId="0" fontId="1" fillId="0" borderId="0" xfId="0" applyFont="1"/>
    <xf numFmtId="0" fontId="11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8" xfId="0" applyBorder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" fontId="0" fillId="0" borderId="1" xfId="0" applyNumberFormat="1" applyBorder="1"/>
    <xf numFmtId="0" fontId="6" fillId="0" borderId="0" xfId="0" applyFont="1" applyAlignment="1">
      <alignment horizontal="left" vertical="center" indent="1"/>
    </xf>
    <xf numFmtId="21" fontId="0" fillId="0" borderId="1" xfId="0" applyNumberFormat="1" applyBorder="1"/>
    <xf numFmtId="49" fontId="0" fillId="0" borderId="1" xfId="0" applyNumberFormat="1" applyBorder="1"/>
    <xf numFmtId="14" fontId="0" fillId="0" borderId="0" xfId="0" applyNumberFormat="1"/>
    <xf numFmtId="4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0" fontId="13" fillId="0" borderId="1" xfId="0" applyFont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20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CF8E-5F84-4B5F-9CC2-F8AA0B1CDF1A}">
  <dimension ref="A1:F167"/>
  <sheetViews>
    <sheetView workbookViewId="0">
      <selection activeCell="A14" sqref="A14"/>
    </sheetView>
  </sheetViews>
  <sheetFormatPr defaultRowHeight="14.4"/>
  <cols>
    <col min="2" max="2" width="19.33203125" customWidth="1"/>
    <col min="3" max="3" width="25" customWidth="1"/>
  </cols>
  <sheetData>
    <row r="1" spans="1:6">
      <c r="A1" s="38" t="s">
        <v>0</v>
      </c>
      <c r="B1" s="38"/>
      <c r="C1" s="38"/>
      <c r="D1" s="38"/>
      <c r="E1" s="38"/>
      <c r="F1" s="38"/>
    </row>
    <row r="2" spans="1:6">
      <c r="A2" s="38"/>
      <c r="B2" s="38"/>
      <c r="C2" s="38"/>
      <c r="D2" s="38"/>
      <c r="E2" s="38"/>
      <c r="F2" s="38"/>
    </row>
    <row r="4" spans="1:6">
      <c r="B4" s="2" t="s">
        <v>1</v>
      </c>
      <c r="C4" s="2" t="s">
        <v>2</v>
      </c>
    </row>
    <row r="5" spans="1:6">
      <c r="B5" s="3">
        <v>45963</v>
      </c>
      <c r="C5" s="1" t="e">
        <f>DATEVALUE(B5)</f>
        <v>#VALUE!</v>
      </c>
    </row>
    <row r="6" spans="1:6">
      <c r="B6" s="3">
        <v>40636</v>
      </c>
      <c r="C6" s="1"/>
    </row>
    <row r="7" spans="1:6">
      <c r="B7" s="1"/>
      <c r="C7" s="1"/>
    </row>
    <row r="12" spans="1:6">
      <c r="A12" t="s">
        <v>65</v>
      </c>
    </row>
    <row r="13" spans="1:6">
      <c r="A13" t="s">
        <v>68</v>
      </c>
    </row>
    <row r="14" spans="1:6">
      <c r="A14" t="s">
        <v>64</v>
      </c>
    </row>
    <row r="18" spans="1:1" ht="31.2">
      <c r="A18" s="4" t="s">
        <v>63</v>
      </c>
    </row>
    <row r="20" spans="1:1" ht="18">
      <c r="A20" s="5" t="s">
        <v>3</v>
      </c>
    </row>
    <row r="22" spans="1:1">
      <c r="A22" t="s">
        <v>4</v>
      </c>
    </row>
    <row r="23" spans="1:1">
      <c r="A23" t="s">
        <v>5</v>
      </c>
    </row>
    <row r="24" spans="1:1">
      <c r="A24" t="s">
        <v>6</v>
      </c>
    </row>
    <row r="28" spans="1:1" ht="18">
      <c r="A28" s="5" t="s">
        <v>7</v>
      </c>
    </row>
    <row r="30" spans="1:1">
      <c r="A30" s="6" t="e" cm="1">
        <f t="array" ref="A30">DATEVALUE(date_text)</f>
        <v>#NAME?</v>
      </c>
    </row>
    <row r="31" spans="1:1">
      <c r="A31" s="7"/>
    </row>
    <row r="32" spans="1:1">
      <c r="A32" s="8" t="s">
        <v>8</v>
      </c>
    </row>
    <row r="36" spans="1:1" ht="18">
      <c r="A36" s="5" t="s">
        <v>9</v>
      </c>
    </row>
    <row r="37" spans="1:1">
      <c r="A37" s="7"/>
    </row>
    <row r="38" spans="1:1">
      <c r="A38" s="7" t="s">
        <v>10</v>
      </c>
    </row>
    <row r="39" spans="1:1">
      <c r="A39" s="7"/>
    </row>
    <row r="40" spans="1:1">
      <c r="A40" s="7" t="s">
        <v>11</v>
      </c>
    </row>
    <row r="41" spans="1:1">
      <c r="A41" s="7"/>
    </row>
    <row r="42" spans="1:1">
      <c r="A42" s="7" t="s">
        <v>12</v>
      </c>
    </row>
    <row r="43" spans="1:1">
      <c r="A43" s="7"/>
    </row>
    <row r="44" spans="1:1">
      <c r="A44" s="7" t="s">
        <v>13</v>
      </c>
    </row>
    <row r="45" spans="1:1">
      <c r="A45" s="7"/>
    </row>
    <row r="46" spans="1:1">
      <c r="A46" s="7" t="s">
        <v>14</v>
      </c>
    </row>
    <row r="47" spans="1:1">
      <c r="A47" s="7"/>
    </row>
    <row r="48" spans="1:1">
      <c r="A48" s="7" t="s">
        <v>15</v>
      </c>
    </row>
    <row r="49" spans="1:4">
      <c r="A49" s="7"/>
    </row>
    <row r="50" spans="1:4">
      <c r="A50" s="7" t="s">
        <v>16</v>
      </c>
    </row>
    <row r="51" spans="1:4">
      <c r="A51" s="7"/>
    </row>
    <row r="52" spans="1:4">
      <c r="A52" s="7" t="s">
        <v>17</v>
      </c>
    </row>
    <row r="53" spans="1:4">
      <c r="A53" s="7"/>
    </row>
    <row r="54" spans="1:4">
      <c r="A54" s="7" t="s">
        <v>18</v>
      </c>
    </row>
    <row r="55" spans="1:4">
      <c r="A55" s="7"/>
    </row>
    <row r="56" spans="1:4">
      <c r="A56" s="7" t="s">
        <v>19</v>
      </c>
    </row>
    <row r="60" spans="1:4" ht="31.2">
      <c r="A60" s="4" t="s">
        <v>67</v>
      </c>
    </row>
    <row r="62" spans="1:4">
      <c r="A62" t="s">
        <v>20</v>
      </c>
    </row>
    <row r="64" spans="1:4" ht="28.8">
      <c r="A64" s="9" t="s">
        <v>21</v>
      </c>
      <c r="B64" s="9" t="s">
        <v>22</v>
      </c>
      <c r="C64" s="9" t="s">
        <v>23</v>
      </c>
      <c r="D64" s="9" t="s">
        <v>24</v>
      </c>
    </row>
    <row r="65" spans="1:4" ht="26.4">
      <c r="A65" s="11" t="s">
        <v>25</v>
      </c>
      <c r="B65" s="11">
        <f>DATEVALUE("01/01/2024")</f>
        <v>45292</v>
      </c>
      <c r="C65" s="11">
        <v>45292</v>
      </c>
      <c r="D65" s="12">
        <v>45292</v>
      </c>
    </row>
    <row r="66" spans="1:4" ht="26.4">
      <c r="A66" s="11" t="s">
        <v>26</v>
      </c>
      <c r="B66" s="11" t="e">
        <f>DATEVALUE(A2)</f>
        <v>#VALUE!</v>
      </c>
      <c r="C66" s="11">
        <v>45291</v>
      </c>
      <c r="D66" s="12">
        <v>45291</v>
      </c>
    </row>
    <row r="67" spans="1:4" ht="26.4">
      <c r="A67" s="11" t="s">
        <v>27</v>
      </c>
      <c r="B67" s="11">
        <f>DATEVALUE("15-Aug-2025")</f>
        <v>45884</v>
      </c>
      <c r="C67" s="11">
        <v>45783</v>
      </c>
      <c r="D67" s="12">
        <v>45884</v>
      </c>
    </row>
    <row r="68" spans="1:4" ht="26.4">
      <c r="A68" s="11" t="s">
        <v>28</v>
      </c>
      <c r="B68" s="11" t="e">
        <f>DATEVALUE("March 10, 2022")</f>
        <v>#VALUE!</v>
      </c>
      <c r="C68" s="11">
        <v>44634</v>
      </c>
      <c r="D68" s="12">
        <v>44630</v>
      </c>
    </row>
    <row r="69" spans="1:4" ht="26.4">
      <c r="A69" s="11" t="s">
        <v>29</v>
      </c>
      <c r="B69" s="11" t="e">
        <f>DATEVALUE(A5)</f>
        <v>#VALUE!</v>
      </c>
      <c r="C69" s="11">
        <v>45747</v>
      </c>
      <c r="D69" s="12">
        <v>45748</v>
      </c>
    </row>
    <row r="70" spans="1:4" ht="26.4">
      <c r="A70" s="11" t="s">
        <v>30</v>
      </c>
      <c r="B70" s="11">
        <f>DATEVALUE("7/4/2020")</f>
        <v>43928</v>
      </c>
      <c r="C70" s="11">
        <v>44021</v>
      </c>
      <c r="D70" s="12">
        <v>44016</v>
      </c>
    </row>
    <row r="71" spans="1:4" ht="26.4">
      <c r="A71" s="11" t="s">
        <v>31</v>
      </c>
      <c r="B71" s="11" t="e">
        <f>DATEVALUE(A7)</f>
        <v>#VALUE!</v>
      </c>
      <c r="C71" s="11">
        <v>45235</v>
      </c>
      <c r="D71" s="12">
        <v>45235</v>
      </c>
    </row>
    <row r="72" spans="1:4" ht="26.4">
      <c r="A72" s="11" t="s">
        <v>32</v>
      </c>
      <c r="B72" s="11">
        <f>DATEVALUE("21 Dec 2019")</f>
        <v>43820</v>
      </c>
      <c r="C72" s="11">
        <v>43822</v>
      </c>
      <c r="D72" s="12">
        <v>43820</v>
      </c>
    </row>
    <row r="73" spans="1:4" ht="39.6">
      <c r="A73" s="11" t="s">
        <v>33</v>
      </c>
      <c r="B73" s="11" t="e">
        <f>DATEVALUE("February 29, 2024")</f>
        <v>#VALUE!</v>
      </c>
      <c r="C73" s="11">
        <v>45351</v>
      </c>
      <c r="D73" s="12">
        <v>45351</v>
      </c>
    </row>
    <row r="74" spans="1:4" ht="26.4">
      <c r="A74" s="11" t="s">
        <v>34</v>
      </c>
      <c r="B74" s="11" t="e">
        <f>DATEVALUE(A10)</f>
        <v>#VALUE!</v>
      </c>
      <c r="C74" s="11">
        <v>45903</v>
      </c>
      <c r="D74" s="12">
        <v>45889</v>
      </c>
    </row>
    <row r="75" spans="1:4" ht="26.4">
      <c r="A75" s="11" t="s">
        <v>35</v>
      </c>
      <c r="B75" s="11">
        <f>DATEVALUE("2026-01-01")</f>
        <v>46023</v>
      </c>
      <c r="C75" s="11">
        <v>46037</v>
      </c>
      <c r="D75" s="12">
        <v>46023</v>
      </c>
    </row>
    <row r="78" spans="1:4" ht="31.2">
      <c r="A78" s="4" t="s">
        <v>66</v>
      </c>
    </row>
    <row r="80" spans="1:4" ht="18">
      <c r="A80" s="5" t="s">
        <v>36</v>
      </c>
    </row>
    <row r="82" spans="1:1">
      <c r="A82" t="s">
        <v>37</v>
      </c>
    </row>
    <row r="83" spans="1:1">
      <c r="A83" t="s">
        <v>38</v>
      </c>
    </row>
    <row r="87" spans="1:1" ht="18">
      <c r="A87" s="5" t="s">
        <v>39</v>
      </c>
    </row>
    <row r="89" spans="1:1">
      <c r="A89" t="s">
        <v>40</v>
      </c>
    </row>
    <row r="90" spans="1:1">
      <c r="A90" t="s">
        <v>41</v>
      </c>
    </row>
    <row r="94" spans="1:1" ht="18">
      <c r="A94" s="5" t="s">
        <v>42</v>
      </c>
    </row>
    <row r="96" spans="1:1">
      <c r="A96" s="6">
        <f ca="1">DATEDIF(DATEVALUE("15-Aug-1990"),TODAY(),"Y")</f>
        <v>35</v>
      </c>
    </row>
    <row r="98" spans="1:1">
      <c r="A98" t="s">
        <v>43</v>
      </c>
    </row>
    <row r="102" spans="1:1" ht="18">
      <c r="A102" s="5" t="s">
        <v>44</v>
      </c>
    </row>
    <row r="104" spans="1:1">
      <c r="A104" s="13">
        <f ca="1">TODAY() - DATEVALUE("01-Jan-2023")</f>
        <v>968</v>
      </c>
    </row>
    <row r="106" spans="1:1">
      <c r="A106" t="s">
        <v>45</v>
      </c>
    </row>
    <row r="110" spans="1:1" ht="18">
      <c r="A110" s="5" t="s">
        <v>46</v>
      </c>
    </row>
    <row r="112" spans="1:1">
      <c r="A112" s="6" t="e">
        <f>MONTH(DATEVALUE(A2))</f>
        <v>#VALUE!</v>
      </c>
    </row>
    <row r="114" spans="1:1">
      <c r="A114" t="s">
        <v>47</v>
      </c>
    </row>
    <row r="118" spans="1:1" ht="18">
      <c r="A118" s="5" t="s">
        <v>48</v>
      </c>
    </row>
    <row r="120" spans="1:1">
      <c r="A120" s="6">
        <f>YEAR(DATEVALUE("31-Dec-2025"))</f>
        <v>2025</v>
      </c>
    </row>
    <row r="122" spans="1:1">
      <c r="A122" t="s">
        <v>49</v>
      </c>
    </row>
    <row r="126" spans="1:1" ht="18">
      <c r="A126" s="5" t="s">
        <v>50</v>
      </c>
    </row>
    <row r="128" spans="1:1">
      <c r="A128" t="s">
        <v>51</v>
      </c>
    </row>
    <row r="130" spans="1:1">
      <c r="A130" s="6" t="e">
        <f ca="1">IF(DATEVALUE(A2)&gt;TODAY(),"Future Date","Past Date")</f>
        <v>#VALUE!</v>
      </c>
    </row>
    <row r="132" spans="1:1">
      <c r="A132" t="s">
        <v>52</v>
      </c>
    </row>
    <row r="136" spans="1:1" ht="18">
      <c r="A136" s="5" t="s">
        <v>53</v>
      </c>
    </row>
    <row r="138" spans="1:1">
      <c r="A138" t="s">
        <v>54</v>
      </c>
    </row>
    <row r="140" spans="1:1">
      <c r="A140" s="6" t="e">
        <f>DATEVALUE(MID(A2,6,2)&amp;"/"&amp;RIGHT(A2,2)&amp;"/"&amp;LEFT(A2,4))</f>
        <v>#VALUE!</v>
      </c>
    </row>
    <row r="142" spans="1:1">
      <c r="A142" t="s">
        <v>55</v>
      </c>
    </row>
    <row r="146" spans="1:1" ht="18">
      <c r="A146" s="5" t="s">
        <v>56</v>
      </c>
    </row>
    <row r="148" spans="1:1">
      <c r="A148" t="s">
        <v>57</v>
      </c>
    </row>
    <row r="150" spans="1:1">
      <c r="A150" s="6" t="e">
        <f>IF(DATEVALUE(A2)=DATEVALUE("25-Dec-2025"),"Christmas","Workday")</f>
        <v>#VALUE!</v>
      </c>
    </row>
    <row r="154" spans="1:1" ht="18">
      <c r="A154" s="5" t="s">
        <v>58</v>
      </c>
    </row>
    <row r="156" spans="1:1">
      <c r="A156" s="6" t="e">
        <f>DATEVALUE(A2)+30</f>
        <v>#VALUE!</v>
      </c>
    </row>
    <row r="158" spans="1:1">
      <c r="A158" t="s">
        <v>59</v>
      </c>
    </row>
    <row r="162" spans="1:1">
      <c r="A162" t="s">
        <v>60</v>
      </c>
    </row>
    <row r="163" spans="1:1">
      <c r="A163" t="s">
        <v>61</v>
      </c>
    </row>
    <row r="167" spans="1:1">
      <c r="A167" t="s">
        <v>62</v>
      </c>
    </row>
  </sheetData>
  <mergeCells count="1">
    <mergeCell ref="A1:F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B2508-1132-4314-B7FF-A99940161024}">
  <dimension ref="A1:E180"/>
  <sheetViews>
    <sheetView workbookViewId="0">
      <selection activeCell="A4" sqref="A4:B4"/>
    </sheetView>
  </sheetViews>
  <sheetFormatPr defaultRowHeight="14.4"/>
  <cols>
    <col min="1" max="3" width="14.44140625" customWidth="1"/>
  </cols>
  <sheetData>
    <row r="1" spans="1:5">
      <c r="A1" s="39" t="s">
        <v>69</v>
      </c>
      <c r="B1" s="39"/>
      <c r="C1" s="39"/>
      <c r="D1" s="39"/>
      <c r="E1" s="39"/>
    </row>
    <row r="2" spans="1:5">
      <c r="A2" s="39"/>
      <c r="B2" s="39"/>
      <c r="C2" s="39"/>
      <c r="D2" s="39"/>
      <c r="E2" s="39"/>
    </row>
    <row r="3" spans="1:5">
      <c r="A3" s="2" t="s">
        <v>70</v>
      </c>
      <c r="B3" s="2" t="s">
        <v>71</v>
      </c>
      <c r="C3" s="2" t="s">
        <v>72</v>
      </c>
      <c r="D3" s="1"/>
      <c r="E3" s="1"/>
    </row>
    <row r="4" spans="1:5">
      <c r="A4" s="3">
        <v>45962</v>
      </c>
      <c r="B4" s="3">
        <v>45718</v>
      </c>
      <c r="C4" s="1">
        <f>_xlfn.DAYS(A4,B4)</f>
        <v>244</v>
      </c>
      <c r="D4" s="1"/>
      <c r="E4" s="1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9" spans="1:5">
      <c r="A9" t="s">
        <v>73</v>
      </c>
    </row>
    <row r="15" spans="1:5" ht="31.2">
      <c r="A15" s="4" t="s">
        <v>143</v>
      </c>
    </row>
    <row r="17" spans="1:1">
      <c r="A17" s="15" t="s">
        <v>76</v>
      </c>
    </row>
    <row r="19" spans="1:1">
      <c r="A19" s="6" t="e" cm="1">
        <f t="array" ref="A19">_xlfn.DAYS(end_date, start_date)</f>
        <v>#NAME?</v>
      </c>
    </row>
    <row r="20" spans="1:1">
      <c r="A20" s="7"/>
    </row>
    <row r="21" spans="1:1">
      <c r="A21" s="8" t="s">
        <v>77</v>
      </c>
    </row>
    <row r="22" spans="1:1">
      <c r="A22" s="7"/>
    </row>
    <row r="23" spans="1:1">
      <c r="A23" s="8" t="s">
        <v>78</v>
      </c>
    </row>
    <row r="25" spans="1:1">
      <c r="A25" t="s">
        <v>79</v>
      </c>
    </row>
    <row r="29" spans="1:1" ht="31.2">
      <c r="A29" s="4" t="s">
        <v>144</v>
      </c>
    </row>
    <row r="30" spans="1:1">
      <c r="A30" s="7"/>
    </row>
    <row r="31" spans="1:1">
      <c r="A31" s="8" t="s">
        <v>80</v>
      </c>
    </row>
    <row r="32" spans="1:1">
      <c r="A32" s="7"/>
    </row>
    <row r="33" spans="1:1">
      <c r="A33" s="8" t="s">
        <v>81</v>
      </c>
    </row>
    <row r="34" spans="1:1">
      <c r="A34" s="7"/>
    </row>
    <row r="35" spans="1:1">
      <c r="A35" s="8" t="s">
        <v>82</v>
      </c>
    </row>
    <row r="36" spans="1:1">
      <c r="A36" s="7"/>
    </row>
    <row r="37" spans="1:1">
      <c r="A37" s="8" t="s">
        <v>83</v>
      </c>
    </row>
    <row r="38" spans="1:1">
      <c r="A38" s="7"/>
    </row>
    <row r="39" spans="1:1">
      <c r="A39" s="8" t="s">
        <v>84</v>
      </c>
    </row>
    <row r="40" spans="1:1">
      <c r="A40" s="7"/>
    </row>
    <row r="41" spans="1:1">
      <c r="A41" s="8" t="s">
        <v>85</v>
      </c>
    </row>
    <row r="42" spans="1:1">
      <c r="A42" s="7"/>
    </row>
    <row r="43" spans="1:1">
      <c r="A43" s="8" t="s">
        <v>86</v>
      </c>
    </row>
    <row r="44" spans="1:1">
      <c r="A44" s="7"/>
    </row>
    <row r="45" spans="1:1">
      <c r="A45" s="8" t="s">
        <v>87</v>
      </c>
    </row>
    <row r="46" spans="1:1">
      <c r="A46" s="7"/>
    </row>
    <row r="47" spans="1:1">
      <c r="A47" s="8" t="s">
        <v>88</v>
      </c>
    </row>
    <row r="48" spans="1:1">
      <c r="A48" s="7"/>
    </row>
    <row r="49" spans="1:1">
      <c r="A49" s="8" t="s">
        <v>89</v>
      </c>
    </row>
    <row r="50" spans="1:1">
      <c r="A50" s="7"/>
    </row>
    <row r="51" spans="1:1">
      <c r="A51" s="8" t="s">
        <v>90</v>
      </c>
    </row>
    <row r="55" spans="1:1" ht="31.2">
      <c r="A55" s="4" t="s">
        <v>145</v>
      </c>
    </row>
    <row r="56" spans="1:1">
      <c r="A56" s="7"/>
    </row>
    <row r="57" spans="1:1">
      <c r="A57" s="7" t="s">
        <v>91</v>
      </c>
    </row>
    <row r="58" spans="1:1">
      <c r="A58" s="7"/>
    </row>
    <row r="59" spans="1:1">
      <c r="A59" s="8" t="s">
        <v>92</v>
      </c>
    </row>
    <row r="61" spans="1:1">
      <c r="A61" s="6" t="s">
        <v>93</v>
      </c>
    </row>
    <row r="62" spans="1:1">
      <c r="A62" s="7"/>
    </row>
    <row r="63" spans="1:1">
      <c r="A63" s="8" t="s">
        <v>94</v>
      </c>
    </row>
    <row r="65" spans="1:1">
      <c r="A65" s="6" t="s">
        <v>95</v>
      </c>
    </row>
    <row r="66" spans="1:1">
      <c r="A66" s="7"/>
    </row>
    <row r="67" spans="1:1">
      <c r="A67" s="8" t="s">
        <v>96</v>
      </c>
    </row>
    <row r="69" spans="1:1">
      <c r="A69" s="6" t="s">
        <v>97</v>
      </c>
    </row>
    <row r="70" spans="1:1">
      <c r="A70" s="7"/>
    </row>
    <row r="71" spans="1:1">
      <c r="A71" s="8" t="s">
        <v>98</v>
      </c>
    </row>
    <row r="73" spans="1:1">
      <c r="A73" s="6" t="s">
        <v>99</v>
      </c>
    </row>
    <row r="74" spans="1:1">
      <c r="A74" s="7"/>
    </row>
    <row r="75" spans="1:1">
      <c r="A75" s="8" t="s">
        <v>100</v>
      </c>
    </row>
    <row r="77" spans="1:1">
      <c r="A77" s="6" t="s">
        <v>101</v>
      </c>
    </row>
    <row r="78" spans="1:1">
      <c r="A78" s="6" t="s">
        <v>102</v>
      </c>
    </row>
    <row r="79" spans="1:1">
      <c r="A79" s="7"/>
    </row>
    <row r="80" spans="1:1">
      <c r="A80" s="8" t="s">
        <v>103</v>
      </c>
    </row>
    <row r="82" spans="1:1">
      <c r="A82" s="6" t="s">
        <v>104</v>
      </c>
    </row>
    <row r="83" spans="1:1">
      <c r="A83" s="7"/>
    </row>
    <row r="84" spans="1:1">
      <c r="A84" s="8" t="s">
        <v>105</v>
      </c>
    </row>
    <row r="86" spans="1:1">
      <c r="A86" s="6" t="s">
        <v>106</v>
      </c>
    </row>
    <row r="87" spans="1:1">
      <c r="A87" s="7"/>
    </row>
    <row r="88" spans="1:1">
      <c r="A88" s="8" t="s">
        <v>107</v>
      </c>
    </row>
    <row r="90" spans="1:1">
      <c r="A90" s="6" t="s">
        <v>108</v>
      </c>
    </row>
    <row r="91" spans="1:1">
      <c r="A91" s="7"/>
    </row>
    <row r="92" spans="1:1">
      <c r="A92" s="8" t="s">
        <v>109</v>
      </c>
    </row>
    <row r="94" spans="1:1">
      <c r="A94" s="6" t="s">
        <v>110</v>
      </c>
    </row>
    <row r="95" spans="1:1">
      <c r="A95" s="7"/>
    </row>
    <row r="96" spans="1:1">
      <c r="A96" s="8" t="s">
        <v>111</v>
      </c>
    </row>
    <row r="98" spans="1:1">
      <c r="A98" s="6" t="s">
        <v>112</v>
      </c>
    </row>
    <row r="99" spans="1:1">
      <c r="A99" s="7"/>
    </row>
    <row r="100" spans="1:1">
      <c r="A100" s="8" t="s">
        <v>113</v>
      </c>
    </row>
    <row r="102" spans="1:1">
      <c r="A102" s="6" t="s">
        <v>114</v>
      </c>
    </row>
    <row r="103" spans="1:1">
      <c r="A103" s="7"/>
    </row>
    <row r="104" spans="1:1">
      <c r="A104" s="8" t="s">
        <v>115</v>
      </c>
    </row>
    <row r="106" spans="1:1">
      <c r="A106" s="6" t="s">
        <v>116</v>
      </c>
    </row>
    <row r="107" spans="1:1">
      <c r="A107" s="7"/>
    </row>
    <row r="108" spans="1:1">
      <c r="A108" s="8" t="s">
        <v>117</v>
      </c>
    </row>
    <row r="110" spans="1:1">
      <c r="A110" s="6" t="s">
        <v>118</v>
      </c>
    </row>
    <row r="111" spans="1:1">
      <c r="A111" s="7"/>
    </row>
    <row r="112" spans="1:1">
      <c r="A112" s="8" t="s">
        <v>119</v>
      </c>
    </row>
    <row r="114" spans="1:1">
      <c r="A114" s="6" t="e">
        <f>_xlfn.DAYS(DATEVALUE(A2), DATEVALUE(B2))</f>
        <v>#VALUE!</v>
      </c>
    </row>
    <row r="115" spans="1:1">
      <c r="A115" s="7"/>
    </row>
    <row r="116" spans="1:1">
      <c r="A116" s="8" t="s">
        <v>120</v>
      </c>
    </row>
    <row r="118" spans="1:1">
      <c r="A118" s="6">
        <f>_xlfn.DAYS(C2, B2)</f>
        <v>0</v>
      </c>
    </row>
    <row r="119" spans="1:1">
      <c r="A119" s="7"/>
    </row>
    <row r="120" spans="1:1">
      <c r="A120" s="8" t="s">
        <v>121</v>
      </c>
    </row>
    <row r="122" spans="1:1">
      <c r="A122" s="6" t="e" cm="1">
        <f t="array" aca="1" ref="A122" ca="1">MAX(0, _xlfn.DAYS(TODAY(), DueDate))</f>
        <v>#NAME?</v>
      </c>
    </row>
    <row r="123" spans="1:1">
      <c r="A123" s="7"/>
    </row>
    <row r="124" spans="1:1">
      <c r="A124" s="8" t="s">
        <v>122</v>
      </c>
    </row>
    <row r="126" spans="1:1">
      <c r="A126" s="6">
        <f>IFERROR(_xlfn.DAYS(B2, A2), "Check date")</f>
        <v>0</v>
      </c>
    </row>
    <row r="127" spans="1:1">
      <c r="A127" s="7"/>
    </row>
    <row r="128" spans="1:1">
      <c r="A128" s="8" t="s">
        <v>123</v>
      </c>
    </row>
    <row r="130" spans="1:1">
      <c r="A130" s="6" t="b">
        <f ca="1">_xlfn.DAYS(TODAY(), A2) &lt;= 30</f>
        <v>0</v>
      </c>
    </row>
    <row r="134" spans="1:1" ht="31.2">
      <c r="A134" s="4" t="s">
        <v>146</v>
      </c>
    </row>
    <row r="135" spans="1:1">
      <c r="A135" s="7"/>
    </row>
    <row r="136" spans="1:1">
      <c r="A136" s="8" t="s">
        <v>124</v>
      </c>
    </row>
    <row r="137" spans="1:1">
      <c r="A137" s="7"/>
    </row>
    <row r="138" spans="1:1">
      <c r="A138" s="8" t="s">
        <v>125</v>
      </c>
    </row>
    <row r="139" spans="1:1">
      <c r="A139" s="7"/>
    </row>
    <row r="140" spans="1:1">
      <c r="A140" s="8" t="s">
        <v>126</v>
      </c>
    </row>
    <row r="141" spans="1:1">
      <c r="A141" s="7"/>
    </row>
    <row r="142" spans="1:1">
      <c r="A142" s="8" t="s">
        <v>127</v>
      </c>
    </row>
    <row r="143" spans="1:1">
      <c r="A143" s="7"/>
    </row>
    <row r="144" spans="1:1">
      <c r="A144" s="8" t="s">
        <v>128</v>
      </c>
    </row>
    <row r="145" spans="1:1">
      <c r="A145" s="7"/>
    </row>
    <row r="146" spans="1:1">
      <c r="A146" s="8" t="s">
        <v>129</v>
      </c>
    </row>
    <row r="147" spans="1:1">
      <c r="A147" s="7"/>
    </row>
    <row r="148" spans="1:1">
      <c r="A148" s="8" t="s">
        <v>130</v>
      </c>
    </row>
    <row r="149" spans="1:1">
      <c r="A149" s="7"/>
    </row>
    <row r="150" spans="1:1">
      <c r="A150" s="8" t="s">
        <v>131</v>
      </c>
    </row>
    <row r="151" spans="1:1">
      <c r="A151" s="7"/>
    </row>
    <row r="152" spans="1:1">
      <c r="A152" s="8" t="s">
        <v>132</v>
      </c>
    </row>
    <row r="153" spans="1:1">
      <c r="A153" s="7"/>
    </row>
    <row r="154" spans="1:1">
      <c r="A154" s="8" t="s">
        <v>133</v>
      </c>
    </row>
    <row r="158" spans="1:1" ht="31.2">
      <c r="A158" s="4" t="s">
        <v>147</v>
      </c>
    </row>
    <row r="159" spans="1:1">
      <c r="A159" s="7"/>
    </row>
    <row r="160" spans="1:1">
      <c r="A160" s="16" t="s">
        <v>134</v>
      </c>
    </row>
    <row r="161" spans="1:1">
      <c r="A161" s="7"/>
    </row>
    <row r="162" spans="1:1">
      <c r="A162" s="16" t="s">
        <v>135</v>
      </c>
    </row>
    <row r="163" spans="1:1">
      <c r="A163" s="7"/>
    </row>
    <row r="164" spans="1:1">
      <c r="A164" s="16" t="s">
        <v>136</v>
      </c>
    </row>
    <row r="165" spans="1:1">
      <c r="A165" s="7"/>
    </row>
    <row r="166" spans="1:1">
      <c r="A166" s="16" t="s">
        <v>137</v>
      </c>
    </row>
    <row r="167" spans="1:1">
      <c r="A167" s="7"/>
    </row>
    <row r="168" spans="1:1">
      <c r="A168" s="16" t="s">
        <v>138</v>
      </c>
    </row>
    <row r="172" spans="1:1" ht="31.2">
      <c r="A172" s="4" t="s">
        <v>148</v>
      </c>
    </row>
    <row r="173" spans="1:1">
      <c r="A173" s="7"/>
    </row>
    <row r="174" spans="1:1">
      <c r="A174" s="7" t="s">
        <v>139</v>
      </c>
    </row>
    <row r="175" spans="1:1">
      <c r="A175" s="7"/>
    </row>
    <row r="176" spans="1:1">
      <c r="A176" s="7" t="s">
        <v>140</v>
      </c>
    </row>
    <row r="177" spans="1:1">
      <c r="A177" s="7"/>
    </row>
    <row r="178" spans="1:1">
      <c r="A178" s="7" t="s">
        <v>141</v>
      </c>
    </row>
    <row r="179" spans="1:1">
      <c r="A179" s="7"/>
    </row>
    <row r="180" spans="1:1">
      <c r="A180" s="7" t="s">
        <v>142</v>
      </c>
    </row>
  </sheetData>
  <mergeCells count="1">
    <mergeCell ref="A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5586-40FE-44DF-8BBD-54E82839B4D1}">
  <dimension ref="A1:E170"/>
  <sheetViews>
    <sheetView workbookViewId="0">
      <selection activeCell="D4" sqref="D4"/>
    </sheetView>
  </sheetViews>
  <sheetFormatPr defaultRowHeight="14.4"/>
  <cols>
    <col min="1" max="1" width="20.109375" customWidth="1"/>
    <col min="2" max="2" width="18.109375" customWidth="1"/>
    <col min="3" max="3" width="22.5546875" customWidth="1"/>
  </cols>
  <sheetData>
    <row r="1" spans="1:5">
      <c r="A1" s="40" t="s">
        <v>74</v>
      </c>
      <c r="B1" s="40"/>
      <c r="C1" s="40"/>
      <c r="D1" s="40"/>
      <c r="E1" s="40"/>
    </row>
    <row r="2" spans="1:5">
      <c r="A2" s="40"/>
      <c r="B2" s="40"/>
      <c r="C2" s="40"/>
      <c r="D2" s="40"/>
      <c r="E2" s="40"/>
    </row>
    <row r="3" spans="1:5">
      <c r="A3" s="14" t="s">
        <v>71</v>
      </c>
      <c r="B3" s="14" t="s">
        <v>70</v>
      </c>
      <c r="C3" s="14" t="s">
        <v>75</v>
      </c>
    </row>
    <row r="4" spans="1:5">
      <c r="A4" s="3">
        <v>45962</v>
      </c>
      <c r="B4" s="3">
        <v>45718</v>
      </c>
      <c r="C4" s="1">
        <f>DAYS360(A4,B4,FALSE)</f>
        <v>-239</v>
      </c>
    </row>
    <row r="5" spans="1:5">
      <c r="A5" s="3">
        <v>45963</v>
      </c>
      <c r="B5" s="3">
        <v>46084</v>
      </c>
      <c r="C5" s="1">
        <f>DAYS360(A5,B5,FALSE)</f>
        <v>121</v>
      </c>
    </row>
    <row r="8" spans="1:5">
      <c r="A8" t="s">
        <v>149</v>
      </c>
    </row>
    <row r="9" spans="1:5">
      <c r="A9" t="s">
        <v>150</v>
      </c>
    </row>
    <row r="13" spans="1:5" ht="31.2">
      <c r="A13" s="4" t="s">
        <v>221</v>
      </c>
    </row>
    <row r="15" spans="1:5">
      <c r="A15" t="s">
        <v>151</v>
      </c>
    </row>
    <row r="17" spans="1:1">
      <c r="A17" t="s">
        <v>152</v>
      </c>
    </row>
    <row r="21" spans="1:1" ht="31.2">
      <c r="A21" s="4" t="s">
        <v>222</v>
      </c>
    </row>
    <row r="23" spans="1:1">
      <c r="A23" s="6" t="s">
        <v>153</v>
      </c>
    </row>
    <row r="25" spans="1:1" ht="18">
      <c r="A25" s="5" t="s">
        <v>154</v>
      </c>
    </row>
    <row r="26" spans="1:1">
      <c r="A26" s="7"/>
    </row>
    <row r="27" spans="1:1">
      <c r="A27" s="8" t="s">
        <v>155</v>
      </c>
    </row>
    <row r="28" spans="1:1">
      <c r="A28" s="7"/>
    </row>
    <row r="29" spans="1:1">
      <c r="A29" s="8" t="s">
        <v>156</v>
      </c>
    </row>
    <row r="30" spans="1:1">
      <c r="A30" s="7"/>
    </row>
    <row r="31" spans="1:1">
      <c r="A31" s="8" t="s">
        <v>157</v>
      </c>
    </row>
    <row r="32" spans="1:1">
      <c r="A32" s="7"/>
    </row>
    <row r="33" spans="1:1">
      <c r="A33" s="7"/>
    </row>
    <row r="34" spans="1:1">
      <c r="A34" s="17"/>
    </row>
    <row r="35" spans="1:1">
      <c r="A35" s="18" t="s">
        <v>158</v>
      </c>
    </row>
    <row r="36" spans="1:1">
      <c r="A36" s="17"/>
    </row>
    <row r="37" spans="1:1">
      <c r="A37" s="18" t="s">
        <v>159</v>
      </c>
    </row>
    <row r="41" spans="1:1" ht="31.2">
      <c r="A41" s="4" t="s">
        <v>223</v>
      </c>
    </row>
    <row r="42" spans="1:1">
      <c r="A42" s="7"/>
    </row>
    <row r="43" spans="1:1">
      <c r="A43" s="8" t="s">
        <v>160</v>
      </c>
    </row>
    <row r="44" spans="1:1">
      <c r="A44" s="7"/>
    </row>
    <row r="45" spans="1:1">
      <c r="A45" s="8" t="s">
        <v>161</v>
      </c>
    </row>
    <row r="46" spans="1:1">
      <c r="A46" s="7"/>
    </row>
    <row r="47" spans="1:1">
      <c r="A47" s="7" t="s">
        <v>162</v>
      </c>
    </row>
    <row r="48" spans="1:1">
      <c r="A48" s="7"/>
    </row>
    <row r="49" spans="1:1">
      <c r="A49" s="7"/>
    </row>
    <row r="50" spans="1:1">
      <c r="A50" s="17"/>
    </row>
    <row r="51" spans="1:1">
      <c r="A51" s="19" t="s">
        <v>163</v>
      </c>
    </row>
    <row r="52" spans="1:1">
      <c r="A52" s="17"/>
    </row>
    <row r="53" spans="1:1">
      <c r="A53" s="19" t="s">
        <v>164</v>
      </c>
    </row>
    <row r="54" spans="1:1">
      <c r="A54" s="7"/>
    </row>
    <row r="55" spans="1:1">
      <c r="A55" s="7" t="s">
        <v>165</v>
      </c>
    </row>
    <row r="56" spans="1:1">
      <c r="A56" s="7"/>
    </row>
    <row r="57" spans="1:1">
      <c r="A57" s="7" t="s">
        <v>166</v>
      </c>
    </row>
    <row r="58" spans="1:1">
      <c r="A58" s="7"/>
    </row>
    <row r="59" spans="1:1">
      <c r="A59" s="7" t="s">
        <v>167</v>
      </c>
    </row>
    <row r="60" spans="1:1">
      <c r="A60" s="7"/>
    </row>
    <row r="61" spans="1:1">
      <c r="A61" s="7" t="s">
        <v>168</v>
      </c>
    </row>
    <row r="62" spans="1:1">
      <c r="A62" s="7"/>
    </row>
    <row r="63" spans="1:1">
      <c r="A63" s="7" t="s">
        <v>169</v>
      </c>
    </row>
    <row r="64" spans="1:1">
      <c r="A64" s="7"/>
    </row>
    <row r="65" spans="1:4">
      <c r="A65" s="7" t="s">
        <v>170</v>
      </c>
    </row>
    <row r="66" spans="1:4">
      <c r="A66" s="7"/>
    </row>
    <row r="67" spans="1:4">
      <c r="A67" s="7" t="s">
        <v>171</v>
      </c>
    </row>
    <row r="71" spans="1:4" ht="31.2">
      <c r="A71" s="4" t="s">
        <v>224</v>
      </c>
    </row>
    <row r="73" spans="1:4">
      <c r="A73" t="s">
        <v>172</v>
      </c>
    </row>
    <row r="75" spans="1:4" ht="28.8">
      <c r="A75" s="9" t="s">
        <v>173</v>
      </c>
      <c r="B75" s="9" t="s">
        <v>22</v>
      </c>
      <c r="C75" s="9" t="s">
        <v>174</v>
      </c>
      <c r="D75" s="9" t="s">
        <v>175</v>
      </c>
    </row>
    <row r="76" spans="1:4" ht="28.8">
      <c r="A76" s="10">
        <v>1</v>
      </c>
      <c r="B76" s="11">
        <f>DAYS360("01-Jan-2025","31-Dec-2025")</f>
        <v>360</v>
      </c>
      <c r="C76" s="10">
        <v>360</v>
      </c>
      <c r="D76" s="10" t="s">
        <v>176</v>
      </c>
    </row>
    <row r="77" spans="1:4" ht="43.2">
      <c r="A77" s="10">
        <v>2</v>
      </c>
      <c r="B77" s="11">
        <f>DAYS360("01-Jan-2025","30-Jun-2025")</f>
        <v>179</v>
      </c>
      <c r="C77" s="10">
        <v>180</v>
      </c>
      <c r="D77" s="10" t="s">
        <v>177</v>
      </c>
    </row>
    <row r="78" spans="1:4" ht="28.8">
      <c r="A78" s="10">
        <v>3</v>
      </c>
      <c r="B78" s="11">
        <f>DAYS360("01-Jan-2025","15-Jan-2025")</f>
        <v>14</v>
      </c>
      <c r="C78" s="10">
        <v>14</v>
      </c>
      <c r="D78" s="10" t="s">
        <v>178</v>
      </c>
    </row>
    <row r="79" spans="1:4" ht="57.6">
      <c r="A79" s="10">
        <v>4</v>
      </c>
      <c r="B79" s="11">
        <f>DAYS360("15-Feb-2025","15-Mar-2025")</f>
        <v>30</v>
      </c>
      <c r="C79" s="10">
        <v>30</v>
      </c>
      <c r="D79" s="10" t="s">
        <v>179</v>
      </c>
    </row>
    <row r="80" spans="1:4" ht="28.8">
      <c r="A80" s="10">
        <v>5</v>
      </c>
      <c r="B80" s="11">
        <f>DAYS360("28-Feb-2024","31-Mar-2024")</f>
        <v>33</v>
      </c>
      <c r="C80" s="10">
        <v>30</v>
      </c>
      <c r="D80" s="10" t="s">
        <v>180</v>
      </c>
    </row>
    <row r="81" spans="1:4" ht="86.4">
      <c r="A81" s="10">
        <v>6</v>
      </c>
      <c r="B81" s="11">
        <f>DAYS360("31-Jan-2025","28-Feb-2025")</f>
        <v>28</v>
      </c>
      <c r="C81" s="10" t="s">
        <v>181</v>
      </c>
      <c r="D81" s="10" t="s">
        <v>182</v>
      </c>
    </row>
    <row r="82" spans="1:4" ht="43.2">
      <c r="A82" s="10">
        <v>7</v>
      </c>
      <c r="B82" s="11">
        <f>DAYS360("31-Jan-2025","31-Dec-2025")</f>
        <v>330</v>
      </c>
      <c r="C82" s="10">
        <v>330</v>
      </c>
      <c r="D82" s="10" t="s">
        <v>183</v>
      </c>
    </row>
    <row r="83" spans="1:4">
      <c r="A83" s="10">
        <v>8</v>
      </c>
      <c r="B83" s="11">
        <f>DAYS360("01-Apr-2025","30-Sep-2025")</f>
        <v>179</v>
      </c>
      <c r="C83" s="10">
        <v>180</v>
      </c>
      <c r="D83" s="10" t="s">
        <v>184</v>
      </c>
    </row>
    <row r="84" spans="1:4" ht="43.2">
      <c r="A84" s="10">
        <v>9</v>
      </c>
      <c r="B84" s="11">
        <f>DAYS360("01-Apr-2025","01-Jul-2025")</f>
        <v>90</v>
      </c>
      <c r="C84" s="10">
        <v>90</v>
      </c>
      <c r="D84" s="10" t="s">
        <v>185</v>
      </c>
    </row>
    <row r="85" spans="1:4">
      <c r="A85" s="10">
        <v>10</v>
      </c>
      <c r="B85" s="11">
        <f>DAYS360("20-Aug-2025","01-Sep-2025")</f>
        <v>11</v>
      </c>
      <c r="C85" s="10">
        <v>11</v>
      </c>
      <c r="D85" s="10" t="s">
        <v>186</v>
      </c>
    </row>
    <row r="86" spans="1:4" ht="43.2">
      <c r="A86" s="10">
        <v>11</v>
      </c>
      <c r="B86" s="11">
        <f>DAYS360("01-Jan-2025","01-Jan-2026")</f>
        <v>360</v>
      </c>
      <c r="C86" s="10">
        <v>360</v>
      </c>
      <c r="D86" s="10" t="s">
        <v>187</v>
      </c>
    </row>
    <row r="87" spans="1:4" ht="28.8">
      <c r="A87" s="10">
        <v>12</v>
      </c>
      <c r="B87" s="11">
        <f>DAYS360("01-Jan-2025","15-Aug-2025")</f>
        <v>224</v>
      </c>
      <c r="C87" s="10">
        <v>224</v>
      </c>
      <c r="D87" s="10" t="s">
        <v>188</v>
      </c>
    </row>
    <row r="88" spans="1:4" ht="43.2">
      <c r="A88" s="10">
        <v>13</v>
      </c>
      <c r="B88" s="11">
        <f>DAYS360("15-Aug-2025","20-Aug-2025")</f>
        <v>5</v>
      </c>
      <c r="C88" s="10">
        <v>5</v>
      </c>
      <c r="D88" s="10" t="s">
        <v>189</v>
      </c>
    </row>
    <row r="89" spans="1:4" ht="28.8">
      <c r="A89" s="10">
        <v>14</v>
      </c>
      <c r="B89" s="11">
        <f>DAYS360("01-Jan-2025","01-Jan-2027")</f>
        <v>720</v>
      </c>
      <c r="C89" s="10">
        <v>720</v>
      </c>
      <c r="D89" s="10" t="s">
        <v>190</v>
      </c>
    </row>
    <row r="90" spans="1:4" ht="100.8">
      <c r="A90" s="10">
        <v>15</v>
      </c>
      <c r="B90" s="11">
        <f>DAYS360("01-Apr-2025","31-Mar-2026",TRUE)</f>
        <v>359</v>
      </c>
      <c r="C90" s="10">
        <v>360</v>
      </c>
      <c r="D90" s="10" t="s">
        <v>191</v>
      </c>
    </row>
    <row r="93" spans="1:4" ht="31.2">
      <c r="A93" s="4" t="s">
        <v>225</v>
      </c>
    </row>
    <row r="95" spans="1:4" ht="18">
      <c r="A95" s="5" t="s">
        <v>192</v>
      </c>
    </row>
    <row r="97" spans="1:1">
      <c r="A97" t="s">
        <v>193</v>
      </c>
    </row>
    <row r="99" spans="1:1">
      <c r="A99" s="6" t="e" cm="1">
        <f t="array" ref="A99">Principal * Rate * DAYS360(StartDate, EndDate)/360</f>
        <v>#NAME?</v>
      </c>
    </row>
    <row r="101" spans="1:1">
      <c r="A101" t="s">
        <v>194</v>
      </c>
    </row>
    <row r="105" spans="1:1" ht="18">
      <c r="A105" s="5" t="s">
        <v>195</v>
      </c>
    </row>
    <row r="107" spans="1:1">
      <c r="A107" t="s">
        <v>196</v>
      </c>
    </row>
    <row r="108" spans="1:1">
      <c r="A108" t="s">
        <v>197</v>
      </c>
    </row>
    <row r="112" spans="1:1" ht="18">
      <c r="A112" s="5" t="s">
        <v>198</v>
      </c>
    </row>
    <row r="114" spans="1:1">
      <c r="A114" t="s">
        <v>199</v>
      </c>
    </row>
    <row r="115" spans="1:1">
      <c r="A115" t="s">
        <v>200</v>
      </c>
    </row>
    <row r="119" spans="1:1" ht="18">
      <c r="A119" s="5" t="s">
        <v>201</v>
      </c>
    </row>
    <row r="121" spans="1:1">
      <c r="A121" t="s">
        <v>202</v>
      </c>
    </row>
    <row r="122" spans="1:1">
      <c r="A122" t="s">
        <v>203</v>
      </c>
    </row>
    <row r="126" spans="1:1" ht="18">
      <c r="A126" s="5" t="s">
        <v>204</v>
      </c>
    </row>
    <row r="128" spans="1:1">
      <c r="A128" t="s">
        <v>205</v>
      </c>
    </row>
    <row r="129" spans="1:1">
      <c r="A129" t="s">
        <v>206</v>
      </c>
    </row>
    <row r="133" spans="1:1" ht="18">
      <c r="A133" s="5" t="s">
        <v>207</v>
      </c>
    </row>
    <row r="135" spans="1:1">
      <c r="A135" t="s">
        <v>208</v>
      </c>
    </row>
    <row r="136" spans="1:1">
      <c r="A136" t="s">
        <v>209</v>
      </c>
    </row>
    <row r="140" spans="1:1" ht="18">
      <c r="A140" s="5" t="s">
        <v>210</v>
      </c>
    </row>
    <row r="142" spans="1:1">
      <c r="A142" t="s">
        <v>211</v>
      </c>
    </row>
    <row r="143" spans="1:1">
      <c r="A143" t="s">
        <v>212</v>
      </c>
    </row>
    <row r="147" spans="1:1" ht="18">
      <c r="A147" s="5" t="s">
        <v>213</v>
      </c>
    </row>
    <row r="149" spans="1:1">
      <c r="A149" t="s">
        <v>214</v>
      </c>
    </row>
    <row r="153" spans="1:1" ht="18">
      <c r="A153" s="5" t="s">
        <v>215</v>
      </c>
    </row>
    <row r="155" spans="1:1">
      <c r="A155" t="s">
        <v>216</v>
      </c>
    </row>
    <row r="159" spans="1:1" ht="18">
      <c r="A159" s="5" t="s">
        <v>217</v>
      </c>
    </row>
    <row r="161" spans="1:1">
      <c r="A161" t="s">
        <v>218</v>
      </c>
    </row>
    <row r="165" spans="1:1">
      <c r="A165" t="s">
        <v>219</v>
      </c>
    </row>
    <row r="166" spans="1:1">
      <c r="A166" t="s">
        <v>220</v>
      </c>
    </row>
    <row r="170" spans="1:1">
      <c r="A170" t="s">
        <v>226</v>
      </c>
    </row>
  </sheetData>
  <mergeCells count="1">
    <mergeCell ref="A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6055-6C84-4525-95DB-841C8E1BDFE2}">
  <dimension ref="A1:E150"/>
  <sheetViews>
    <sheetView topLeftCell="A178" zoomScale="77" workbookViewId="0">
      <selection activeCell="B7" sqref="B7"/>
    </sheetView>
  </sheetViews>
  <sheetFormatPr defaultRowHeight="14.4"/>
  <cols>
    <col min="1" max="1" width="14.5546875" customWidth="1"/>
    <col min="2" max="2" width="26.77734375" customWidth="1"/>
  </cols>
  <sheetData>
    <row r="1" spans="1:5">
      <c r="A1" s="41" t="s">
        <v>227</v>
      </c>
      <c r="B1" s="41"/>
      <c r="C1" s="41"/>
      <c r="D1" s="41"/>
      <c r="E1" s="41"/>
    </row>
    <row r="2" spans="1:5">
      <c r="A2" s="41"/>
      <c r="B2" s="41"/>
      <c r="C2" s="41"/>
      <c r="D2" s="41"/>
      <c r="E2" s="41"/>
    </row>
    <row r="3" spans="1:5">
      <c r="A3" s="1" t="s">
        <v>228</v>
      </c>
      <c r="B3" s="1" t="s">
        <v>229</v>
      </c>
    </row>
    <row r="4" spans="1:5">
      <c r="A4" s="21">
        <v>44562</v>
      </c>
      <c r="B4" s="21">
        <f>EDATE(A4,1)</f>
        <v>44593</v>
      </c>
    </row>
    <row r="5" spans="1:5">
      <c r="A5" s="21">
        <v>45693</v>
      </c>
      <c r="B5" s="1"/>
    </row>
    <row r="6" spans="1:5">
      <c r="A6" s="21">
        <v>44624</v>
      </c>
      <c r="B6" s="1"/>
    </row>
    <row r="7" spans="1:5">
      <c r="A7" s="21">
        <v>44672</v>
      </c>
      <c r="B7" s="1"/>
    </row>
    <row r="8" spans="1:5">
      <c r="A8" s="21">
        <v>45802</v>
      </c>
      <c r="B8" s="1"/>
    </row>
    <row r="11" spans="1:5">
      <c r="B11" t="s">
        <v>276</v>
      </c>
    </row>
    <row r="24" spans="1:1" ht="31.2">
      <c r="A24" s="4" t="s">
        <v>262</v>
      </c>
    </row>
    <row r="26" spans="1:1" ht="18">
      <c r="A26" s="5" t="s">
        <v>263</v>
      </c>
    </row>
    <row r="28" spans="1:1">
      <c r="A28" t="s">
        <v>230</v>
      </c>
    </row>
    <row r="29" spans="1:1">
      <c r="A29" t="s">
        <v>231</v>
      </c>
    </row>
    <row r="33" spans="1:1" ht="18">
      <c r="A33" s="5" t="s">
        <v>264</v>
      </c>
    </row>
    <row r="35" spans="1:1">
      <c r="A35" s="6" t="s">
        <v>232</v>
      </c>
    </row>
    <row r="36" spans="1:1">
      <c r="A36" s="7"/>
    </row>
    <row r="37" spans="1:1">
      <c r="A37" s="8" t="s">
        <v>233</v>
      </c>
    </row>
    <row r="38" spans="1:1">
      <c r="A38" s="7"/>
    </row>
    <row r="39" spans="1:1">
      <c r="A39" s="8" t="s">
        <v>234</v>
      </c>
    </row>
    <row r="40" spans="1:1">
      <c r="A40" s="7"/>
    </row>
    <row r="41" spans="1:1">
      <c r="A41" s="7"/>
    </row>
    <row r="42" spans="1:1">
      <c r="A42" s="17"/>
    </row>
    <row r="43" spans="1:1">
      <c r="A43" s="17" t="s">
        <v>235</v>
      </c>
    </row>
    <row r="44" spans="1:1">
      <c r="A44" s="17"/>
    </row>
    <row r="45" spans="1:1">
      <c r="A45" s="17" t="s">
        <v>236</v>
      </c>
    </row>
    <row r="49" spans="1:1" ht="18">
      <c r="A49" s="5" t="s">
        <v>265</v>
      </c>
    </row>
    <row r="51" spans="1:1" ht="15.6">
      <c r="A51" s="23" t="s">
        <v>237</v>
      </c>
    </row>
    <row r="53" spans="1:1">
      <c r="A53" s="6">
        <f>EDATE("01-Jan-2024", 6)</f>
        <v>45474</v>
      </c>
    </row>
    <row r="55" spans="1:1">
      <c r="A55" t="s">
        <v>266</v>
      </c>
    </row>
    <row r="59" spans="1:1" ht="15.6">
      <c r="A59" s="23" t="s">
        <v>238</v>
      </c>
    </row>
    <row r="61" spans="1:1">
      <c r="A61" s="6">
        <f>EDATE("15-May-2024", -3)</f>
        <v>45337</v>
      </c>
    </row>
    <row r="63" spans="1:1">
      <c r="A63" t="s">
        <v>267</v>
      </c>
    </row>
    <row r="67" spans="1:1" ht="15.6">
      <c r="A67" s="23" t="s">
        <v>239</v>
      </c>
    </row>
    <row r="69" spans="1:1">
      <c r="A69" t="s">
        <v>240</v>
      </c>
    </row>
    <row r="71" spans="1:1">
      <c r="A71" s="6" t="e">
        <f>EDATE(A1, 12)</f>
        <v>#VALUE!</v>
      </c>
    </row>
    <row r="73" spans="1:1">
      <c r="A73" t="s">
        <v>268</v>
      </c>
    </row>
    <row r="77" spans="1:1" ht="15.6">
      <c r="A77" s="23" t="s">
        <v>241</v>
      </c>
    </row>
    <row r="79" spans="1:1">
      <c r="A79" t="s">
        <v>242</v>
      </c>
    </row>
    <row r="81" spans="1:1">
      <c r="A81" s="6">
        <f>EDATE("05-Apr-2023", 12)</f>
        <v>45387</v>
      </c>
    </row>
    <row r="83" spans="1:1">
      <c r="A83" t="s">
        <v>269</v>
      </c>
    </row>
    <row r="87" spans="1:1" ht="15.6">
      <c r="A87" s="23" t="s">
        <v>243</v>
      </c>
    </row>
    <row r="89" spans="1:1">
      <c r="A89" s="6">
        <f>EDATE("29-Feb-2024", 12)</f>
        <v>45716</v>
      </c>
    </row>
    <row r="91" spans="1:1">
      <c r="A91" t="s">
        <v>270</v>
      </c>
    </row>
    <row r="95" spans="1:1" ht="15.6">
      <c r="A95" s="23" t="s">
        <v>244</v>
      </c>
    </row>
    <row r="97" spans="1:1">
      <c r="A97" t="s">
        <v>245</v>
      </c>
    </row>
    <row r="99" spans="1:1">
      <c r="A99" s="6">
        <f>EDATE(A2, B2)</f>
        <v>0</v>
      </c>
    </row>
    <row r="101" spans="1:1">
      <c r="A101" t="s">
        <v>271</v>
      </c>
    </row>
    <row r="105" spans="1:1" ht="18">
      <c r="A105" s="5" t="s">
        <v>272</v>
      </c>
    </row>
    <row r="106" spans="1:1">
      <c r="A106" s="7"/>
    </row>
    <row r="107" spans="1:1">
      <c r="A107" s="8" t="s">
        <v>246</v>
      </c>
    </row>
    <row r="108" spans="1:1">
      <c r="A108" s="7"/>
    </row>
    <row r="109" spans="1:1">
      <c r="A109" s="8" t="s">
        <v>247</v>
      </c>
    </row>
    <row r="110" spans="1:1">
      <c r="A110" s="7"/>
    </row>
    <row r="111" spans="1:1">
      <c r="A111" s="8" t="s">
        <v>248</v>
      </c>
    </row>
    <row r="112" spans="1:1">
      <c r="A112" s="7"/>
    </row>
    <row r="113" spans="1:1">
      <c r="A113" s="8" t="s">
        <v>249</v>
      </c>
    </row>
    <row r="114" spans="1:1">
      <c r="A114" s="7"/>
    </row>
    <row r="115" spans="1:1">
      <c r="A115" s="8" t="s">
        <v>250</v>
      </c>
    </row>
    <row r="119" spans="1:1" ht="18">
      <c r="A119" s="5" t="s">
        <v>273</v>
      </c>
    </row>
    <row r="120" spans="1:1">
      <c r="A120" s="7"/>
    </row>
    <row r="121" spans="1:1">
      <c r="A121" s="7" t="s">
        <v>251</v>
      </c>
    </row>
    <row r="122" spans="1:1">
      <c r="A122" s="7"/>
    </row>
    <row r="123" spans="1:1">
      <c r="A123" s="7" t="s">
        <v>252</v>
      </c>
    </row>
    <row r="124" spans="1:1">
      <c r="A124" s="7"/>
    </row>
    <row r="125" spans="1:1">
      <c r="A125" s="7" t="s">
        <v>253</v>
      </c>
    </row>
    <row r="126" spans="1:1">
      <c r="A126" s="7"/>
    </row>
    <row r="127" spans="1:1">
      <c r="A127" s="7" t="s">
        <v>254</v>
      </c>
    </row>
    <row r="131" spans="1:1" ht="18">
      <c r="A131" s="5" t="s">
        <v>274</v>
      </c>
    </row>
    <row r="132" spans="1:1">
      <c r="A132" s="7"/>
    </row>
    <row r="133" spans="1:1">
      <c r="A133" s="8" t="s">
        <v>255</v>
      </c>
    </row>
    <row r="134" spans="1:1">
      <c r="A134" s="7"/>
    </row>
    <row r="135" spans="1:1">
      <c r="A135" s="7" t="s">
        <v>256</v>
      </c>
    </row>
    <row r="136" spans="1:1">
      <c r="A136" s="7"/>
    </row>
    <row r="137" spans="1:1">
      <c r="A137" s="7"/>
    </row>
    <row r="138" spans="1:1">
      <c r="A138" s="17"/>
    </row>
    <row r="139" spans="1:1">
      <c r="A139" s="17" t="s">
        <v>257</v>
      </c>
    </row>
    <row r="140" spans="1:1">
      <c r="A140" s="7"/>
    </row>
    <row r="141" spans="1:1">
      <c r="A141" s="7" t="s">
        <v>258</v>
      </c>
    </row>
    <row r="142" spans="1:1">
      <c r="A142" s="7"/>
    </row>
    <row r="143" spans="1:1">
      <c r="A143" s="7" t="s">
        <v>259</v>
      </c>
    </row>
    <row r="144" spans="1:1">
      <c r="A144" s="7"/>
    </row>
    <row r="145" spans="1:1">
      <c r="A145" s="7" t="s">
        <v>260</v>
      </c>
    </row>
    <row r="149" spans="1:1">
      <c r="A149" s="22" t="s">
        <v>275</v>
      </c>
    </row>
    <row r="150" spans="1:1">
      <c r="A150" t="s">
        <v>261</v>
      </c>
    </row>
  </sheetData>
  <mergeCells count="1">
    <mergeCell ref="A1:E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D5FE-F69F-49C1-B1CF-968140A9BD9F}">
  <dimension ref="D1:J18"/>
  <sheetViews>
    <sheetView topLeftCell="D1" workbookViewId="0">
      <selection activeCell="F4" sqref="F4"/>
    </sheetView>
  </sheetViews>
  <sheetFormatPr defaultRowHeight="14.4"/>
  <cols>
    <col min="5" max="5" width="10.33203125" bestFit="1" customWidth="1"/>
  </cols>
  <sheetData>
    <row r="1" spans="4:10">
      <c r="D1" s="42" t="s">
        <v>277</v>
      </c>
      <c r="E1" s="42"/>
      <c r="F1" s="42"/>
      <c r="G1" s="42"/>
      <c r="H1" s="42"/>
      <c r="I1" s="42"/>
      <c r="J1" s="42"/>
    </row>
    <row r="2" spans="4:10">
      <c r="D2" s="42"/>
      <c r="E2" s="42"/>
      <c r="F2" s="42"/>
      <c r="G2" s="42"/>
      <c r="H2" s="42"/>
      <c r="I2" s="42"/>
      <c r="J2" s="42"/>
    </row>
    <row r="3" spans="4:10">
      <c r="D3" s="24" t="s">
        <v>278</v>
      </c>
      <c r="E3" s="24" t="s">
        <v>279</v>
      </c>
      <c r="F3" s="24" t="s">
        <v>280</v>
      </c>
      <c r="G3" s="24" t="s">
        <v>281</v>
      </c>
    </row>
    <row r="4" spans="4:10">
      <c r="D4" s="24" t="s">
        <v>282</v>
      </c>
      <c r="E4" s="3">
        <v>35065</v>
      </c>
      <c r="F4" s="1"/>
      <c r="G4" s="1"/>
    </row>
    <row r="5" spans="4:10">
      <c r="D5" s="24" t="s">
        <v>283</v>
      </c>
      <c r="E5" s="3">
        <v>35551</v>
      </c>
      <c r="F5" s="1"/>
      <c r="G5" s="1"/>
    </row>
    <row r="6" spans="4:10">
      <c r="D6" s="24" t="s">
        <v>284</v>
      </c>
      <c r="E6" s="3">
        <v>36071</v>
      </c>
      <c r="F6" s="1"/>
      <c r="G6" s="1"/>
    </row>
    <row r="7" spans="4:10">
      <c r="D7" s="24" t="s">
        <v>285</v>
      </c>
      <c r="E7" s="3">
        <v>36265</v>
      </c>
      <c r="F7" s="1"/>
      <c r="G7" s="1"/>
    </row>
    <row r="8" spans="4:10">
      <c r="D8" s="24" t="s">
        <v>286</v>
      </c>
      <c r="E8" s="3">
        <v>36666</v>
      </c>
      <c r="F8" s="1"/>
      <c r="G8" s="1"/>
    </row>
    <row r="9" spans="4:10">
      <c r="D9" s="24" t="s">
        <v>287</v>
      </c>
      <c r="E9" s="3">
        <v>37067</v>
      </c>
      <c r="F9" s="1"/>
      <c r="G9" s="1"/>
    </row>
    <row r="10" spans="4:10">
      <c r="D10" s="24" t="s">
        <v>288</v>
      </c>
      <c r="E10" s="3">
        <v>36375</v>
      </c>
      <c r="F10" s="1"/>
      <c r="G10" s="1"/>
    </row>
    <row r="11" spans="4:10">
      <c r="D11" s="24" t="s">
        <v>289</v>
      </c>
      <c r="E11" s="3">
        <v>42045</v>
      </c>
      <c r="F11" s="1"/>
      <c r="G11" s="1"/>
    </row>
    <row r="12" spans="4:10">
      <c r="D12" s="24" t="s">
        <v>290</v>
      </c>
      <c r="E12" s="3">
        <v>40614</v>
      </c>
      <c r="F12" s="1"/>
      <c r="G12" s="1"/>
    </row>
    <row r="13" spans="4:10">
      <c r="D13" s="24" t="s">
        <v>291</v>
      </c>
      <c r="E13" s="3">
        <v>42076</v>
      </c>
      <c r="F13" s="1"/>
      <c r="G13" s="1"/>
    </row>
    <row r="14" spans="4:10">
      <c r="D14" s="24" t="s">
        <v>292</v>
      </c>
      <c r="E14" s="3">
        <v>36630</v>
      </c>
      <c r="F14" s="1"/>
      <c r="G14" s="1"/>
    </row>
    <row r="15" spans="4:10">
      <c r="D15" s="24" t="s">
        <v>293</v>
      </c>
      <c r="E15" s="3">
        <v>35930</v>
      </c>
      <c r="F15" s="1"/>
      <c r="G15" s="1"/>
    </row>
    <row r="16" spans="4:10">
      <c r="D16" s="1"/>
      <c r="E16" s="1"/>
      <c r="F16" s="1"/>
      <c r="G16" s="1"/>
    </row>
    <row r="18" spans="4:4">
      <c r="D18" s="20" t="s">
        <v>294</v>
      </c>
    </row>
  </sheetData>
  <mergeCells count="1">
    <mergeCell ref="D1:J2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564F9-992D-46BC-A50D-6149DAA5E70E}">
  <dimension ref="A1:F123"/>
  <sheetViews>
    <sheetView topLeftCell="A132" workbookViewId="0">
      <selection activeCell="F7" sqref="F7"/>
    </sheetView>
  </sheetViews>
  <sheetFormatPr defaultRowHeight="14.4"/>
  <cols>
    <col min="4" max="4" width="37.88671875" customWidth="1"/>
    <col min="5" max="5" width="22.5546875" customWidth="1"/>
  </cols>
  <sheetData>
    <row r="1" spans="1:6" ht="14.4" customHeight="1">
      <c r="D1" s="43" t="s">
        <v>295</v>
      </c>
      <c r="E1" s="44"/>
      <c r="F1" s="45"/>
    </row>
    <row r="2" spans="1:6" ht="14.4" customHeight="1">
      <c r="D2" s="46"/>
      <c r="E2" s="47"/>
      <c r="F2" s="48"/>
    </row>
    <row r="3" spans="1:6">
      <c r="D3" s="24" t="s">
        <v>228</v>
      </c>
      <c r="E3" s="24" t="s">
        <v>22</v>
      </c>
    </row>
    <row r="4" spans="1:6">
      <c r="D4" s="3">
        <v>45356</v>
      </c>
      <c r="E4" s="1">
        <f>_xlfn.ISOWEEKNUM(D4)</f>
        <v>10</v>
      </c>
    </row>
    <row r="5" spans="1:6">
      <c r="D5" s="3">
        <v>45915</v>
      </c>
      <c r="E5" s="1">
        <f t="shared" ref="E5:E7" si="0">_xlfn.ISOWEEKNUM(D5)</f>
        <v>38</v>
      </c>
    </row>
    <row r="6" spans="1:6">
      <c r="D6" s="3">
        <v>45797</v>
      </c>
      <c r="E6" s="1">
        <f t="shared" si="0"/>
        <v>21</v>
      </c>
    </row>
    <row r="7" spans="1:6">
      <c r="D7" s="3">
        <v>46048</v>
      </c>
      <c r="E7" s="1">
        <f t="shared" si="0"/>
        <v>5</v>
      </c>
      <c r="F7" t="s">
        <v>334</v>
      </c>
    </row>
    <row r="9" spans="1:6">
      <c r="D9" t="s">
        <v>296</v>
      </c>
    </row>
    <row r="15" spans="1:6" ht="31.2">
      <c r="A15" s="4" t="s">
        <v>324</v>
      </c>
    </row>
    <row r="17" spans="1:1" ht="18">
      <c r="A17" s="5" t="s">
        <v>325</v>
      </c>
    </row>
    <row r="19" spans="1:1">
      <c r="A19" t="s">
        <v>297</v>
      </c>
    </row>
    <row r="21" spans="1:1">
      <c r="A21" t="s">
        <v>326</v>
      </c>
    </row>
    <row r="22" spans="1:1">
      <c r="A22" s="7"/>
    </row>
    <row r="23" spans="1:1">
      <c r="A23" s="7" t="s">
        <v>298</v>
      </c>
    </row>
    <row r="24" spans="1:1">
      <c r="A24" s="7"/>
    </row>
    <row r="25" spans="1:1">
      <c r="A25" s="8" t="s">
        <v>299</v>
      </c>
    </row>
    <row r="26" spans="1:1">
      <c r="A26" s="7"/>
    </row>
    <row r="27" spans="1:1">
      <c r="A27" s="7" t="s">
        <v>300</v>
      </c>
    </row>
    <row r="31" spans="1:1" ht="18">
      <c r="A31" s="5" t="s">
        <v>264</v>
      </c>
    </row>
    <row r="33" spans="1:1">
      <c r="A33" s="6" t="s">
        <v>301</v>
      </c>
    </row>
    <row r="34" spans="1:1">
      <c r="A34" s="7"/>
    </row>
    <row r="35" spans="1:1">
      <c r="A35" s="8" t="s">
        <v>302</v>
      </c>
    </row>
    <row r="39" spans="1:1" ht="18">
      <c r="A39" s="5" t="s">
        <v>265</v>
      </c>
    </row>
    <row r="41" spans="1:1" ht="15.6">
      <c r="A41" s="23" t="s">
        <v>303</v>
      </c>
    </row>
    <row r="43" spans="1:1">
      <c r="A43" s="6">
        <f>_xlfn.ISOWEEKNUM("01-Jan-2024")</f>
        <v>1</v>
      </c>
    </row>
    <row r="45" spans="1:1">
      <c r="A45" t="s">
        <v>327</v>
      </c>
    </row>
    <row r="46" spans="1:1">
      <c r="A46" t="s">
        <v>304</v>
      </c>
    </row>
    <row r="50" spans="1:1" ht="15.6">
      <c r="A50" s="23" t="s">
        <v>305</v>
      </c>
    </row>
    <row r="52" spans="1:1">
      <c r="A52" t="s">
        <v>306</v>
      </c>
    </row>
    <row r="54" spans="1:1">
      <c r="A54" s="6">
        <f>_xlfn.ISOWEEKNUM(A1)</f>
        <v>52</v>
      </c>
    </row>
    <row r="56" spans="1:1">
      <c r="A56" t="s">
        <v>328</v>
      </c>
    </row>
    <row r="60" spans="1:1" ht="15.6">
      <c r="A60" s="23" t="s">
        <v>307</v>
      </c>
    </row>
    <row r="62" spans="1:1">
      <c r="A62" s="6">
        <f>_xlfn.ISOWEEKNUM("31-Dec-2020")</f>
        <v>53</v>
      </c>
    </row>
    <row r="64" spans="1:1">
      <c r="A64" t="s">
        <v>329</v>
      </c>
    </row>
    <row r="68" spans="1:1" ht="15.6">
      <c r="A68" s="23" t="s">
        <v>308</v>
      </c>
    </row>
    <row r="70" spans="1:1">
      <c r="A70" s="6">
        <f>_xlfn.ISOWEEKNUM("01-Jan-2021")</f>
        <v>53</v>
      </c>
    </row>
    <row r="72" spans="1:1">
      <c r="A72" t="s">
        <v>330</v>
      </c>
    </row>
    <row r="76" spans="1:1" ht="15.6">
      <c r="A76" s="23" t="s">
        <v>309</v>
      </c>
    </row>
    <row r="78" spans="1:1">
      <c r="A78" s="6">
        <f>_xlfn.ISOWEEKNUM("31-Dec-2021")</f>
        <v>52</v>
      </c>
    </row>
    <row r="80" spans="1:1">
      <c r="A80" t="s">
        <v>331</v>
      </c>
    </row>
    <row r="84" spans="1:1" ht="18">
      <c r="A84" s="5" t="s">
        <v>332</v>
      </c>
    </row>
    <row r="85" spans="1:1">
      <c r="A85" s="7"/>
    </row>
    <row r="86" spans="1:1">
      <c r="A86" s="8" t="s">
        <v>310</v>
      </c>
    </row>
    <row r="87" spans="1:1">
      <c r="A87" s="7"/>
    </row>
    <row r="88" spans="1:1">
      <c r="A88" s="8" t="s">
        <v>311</v>
      </c>
    </row>
    <row r="89" spans="1:1">
      <c r="A89" s="7"/>
    </row>
    <row r="90" spans="1:1">
      <c r="A90" s="8" t="s">
        <v>312</v>
      </c>
    </row>
    <row r="91" spans="1:1">
      <c r="A91" s="7"/>
    </row>
    <row r="92" spans="1:1">
      <c r="A92" s="8" t="s">
        <v>313</v>
      </c>
    </row>
    <row r="93" spans="1:1">
      <c r="A93" s="7"/>
    </row>
    <row r="94" spans="1:1">
      <c r="A94" s="8" t="s">
        <v>314</v>
      </c>
    </row>
    <row r="98" spans="1:1" ht="18">
      <c r="A98" s="5" t="s">
        <v>273</v>
      </c>
    </row>
    <row r="99" spans="1:1">
      <c r="A99" s="7"/>
    </row>
    <row r="100" spans="1:1">
      <c r="A100" s="7" t="s">
        <v>315</v>
      </c>
    </row>
    <row r="101" spans="1:1">
      <c r="A101" s="7"/>
    </row>
    <row r="102" spans="1:1">
      <c r="A102" s="7" t="s">
        <v>316</v>
      </c>
    </row>
    <row r="103" spans="1:1">
      <c r="A103" s="7"/>
    </row>
    <row r="104" spans="1:1">
      <c r="A104" s="7" t="s">
        <v>317</v>
      </c>
    </row>
    <row r="105" spans="1:1">
      <c r="A105" s="7"/>
    </row>
    <row r="106" spans="1:1">
      <c r="A106" s="7" t="s">
        <v>318</v>
      </c>
    </row>
    <row r="110" spans="1:1" ht="18">
      <c r="A110" s="5" t="s">
        <v>333</v>
      </c>
    </row>
    <row r="111" spans="1:1">
      <c r="A111" s="7"/>
    </row>
    <row r="112" spans="1:1">
      <c r="A112" s="7" t="s">
        <v>319</v>
      </c>
    </row>
    <row r="113" spans="1:1">
      <c r="A113" s="7"/>
    </row>
    <row r="114" spans="1:1">
      <c r="A114" s="7" t="s">
        <v>320</v>
      </c>
    </row>
    <row r="115" spans="1:1">
      <c r="A115" s="7"/>
    </row>
    <row r="116" spans="1:1">
      <c r="A116" s="7" t="s">
        <v>321</v>
      </c>
    </row>
    <row r="117" spans="1:1">
      <c r="A117" s="7"/>
    </row>
    <row r="118" spans="1:1">
      <c r="A118" s="7" t="s">
        <v>322</v>
      </c>
    </row>
    <row r="122" spans="1:1">
      <c r="A122" s="22" t="s">
        <v>275</v>
      </c>
    </row>
    <row r="123" spans="1:1">
      <c r="A123" t="s">
        <v>323</v>
      </c>
    </row>
  </sheetData>
  <mergeCells count="1">
    <mergeCell ref="D1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046BE-8182-4C9D-A83D-FB1082CEEC09}">
  <dimension ref="A1:E122"/>
  <sheetViews>
    <sheetView topLeftCell="A103" workbookViewId="0">
      <selection activeCell="A123" sqref="A123"/>
    </sheetView>
  </sheetViews>
  <sheetFormatPr defaultRowHeight="14.4"/>
  <cols>
    <col min="1" max="1" width="10.33203125" bestFit="1" customWidth="1"/>
    <col min="3" max="4" width="10.33203125" bestFit="1" customWidth="1"/>
  </cols>
  <sheetData>
    <row r="1" spans="1:5">
      <c r="A1" s="49" t="s">
        <v>513</v>
      </c>
      <c r="B1" s="49"/>
      <c r="C1" s="49"/>
      <c r="D1" s="49"/>
      <c r="E1" s="49"/>
    </row>
    <row r="2" spans="1:5">
      <c r="A2" s="49"/>
      <c r="B2" s="49"/>
      <c r="C2" s="49"/>
      <c r="D2" s="49"/>
      <c r="E2" s="49"/>
    </row>
    <row r="3" spans="1:5">
      <c r="A3" s="24" t="s">
        <v>336</v>
      </c>
      <c r="B3" s="24" t="s">
        <v>72</v>
      </c>
      <c r="C3" s="24" t="s">
        <v>514</v>
      </c>
    </row>
    <row r="4" spans="1:5">
      <c r="A4" s="26">
        <v>45663</v>
      </c>
      <c r="B4" s="24">
        <v>28</v>
      </c>
      <c r="C4" s="26">
        <f>WORKDAY(A4,B4)</f>
        <v>45701</v>
      </c>
      <c r="D4" s="33">
        <f>WORKDAY(A4,B4,2)</f>
        <v>45701</v>
      </c>
    </row>
    <row r="5" spans="1:5">
      <c r="A5" s="26">
        <v>45658</v>
      </c>
      <c r="B5" s="24">
        <v>34</v>
      </c>
      <c r="C5" s="26">
        <f t="shared" ref="C5:C11" si="0">WORKDAY(A5,B5)</f>
        <v>45706</v>
      </c>
    </row>
    <row r="6" spans="1:5">
      <c r="A6" s="26">
        <v>45665</v>
      </c>
      <c r="B6" s="24">
        <v>35</v>
      </c>
      <c r="C6" s="26">
        <f t="shared" si="0"/>
        <v>45714</v>
      </c>
    </row>
    <row r="7" spans="1:5">
      <c r="A7" s="26">
        <v>45689</v>
      </c>
      <c r="B7" s="24">
        <v>55</v>
      </c>
      <c r="C7" s="26">
        <f t="shared" si="0"/>
        <v>45765</v>
      </c>
    </row>
    <row r="8" spans="1:5">
      <c r="A8" s="26">
        <v>45694</v>
      </c>
      <c r="B8" s="24">
        <v>67</v>
      </c>
      <c r="C8" s="26">
        <f t="shared" si="0"/>
        <v>45789</v>
      </c>
    </row>
    <row r="9" spans="1:5">
      <c r="A9" s="26">
        <v>45920</v>
      </c>
      <c r="B9" s="24">
        <v>87</v>
      </c>
      <c r="C9" s="26">
        <f t="shared" si="0"/>
        <v>46042</v>
      </c>
    </row>
    <row r="10" spans="1:5">
      <c r="A10" s="26">
        <v>46014</v>
      </c>
      <c r="B10" s="24">
        <v>55</v>
      </c>
      <c r="C10" s="26">
        <f t="shared" si="0"/>
        <v>46091</v>
      </c>
    </row>
    <row r="11" spans="1:5">
      <c r="A11" s="26">
        <v>46354</v>
      </c>
      <c r="B11" s="24">
        <v>54</v>
      </c>
      <c r="C11" s="26">
        <f t="shared" si="0"/>
        <v>46429</v>
      </c>
    </row>
    <row r="15" spans="1:5">
      <c r="A15" t="s">
        <v>554</v>
      </c>
    </row>
    <row r="19" spans="1:1" ht="23.4">
      <c r="A19" s="36" t="s">
        <v>263</v>
      </c>
    </row>
    <row r="21" spans="1:1">
      <c r="A21" t="s">
        <v>555</v>
      </c>
    </row>
    <row r="23" spans="1:1">
      <c r="A23" t="s">
        <v>583</v>
      </c>
    </row>
    <row r="27" spans="1:1" ht="23.4">
      <c r="A27" s="36" t="s">
        <v>222</v>
      </c>
    </row>
    <row r="29" spans="1:1">
      <c r="A29" s="6" t="s">
        <v>556</v>
      </c>
    </row>
    <row r="31" spans="1:1" ht="18">
      <c r="A31" s="5" t="s">
        <v>397</v>
      </c>
    </row>
    <row r="32" spans="1:1">
      <c r="A32" s="7"/>
    </row>
    <row r="33" spans="1:1">
      <c r="A33" s="8" t="s">
        <v>557</v>
      </c>
    </row>
    <row r="34" spans="1:1">
      <c r="A34" s="7"/>
    </row>
    <row r="35" spans="1:1">
      <c r="A35" s="8" t="s">
        <v>558</v>
      </c>
    </row>
    <row r="36" spans="1:1">
      <c r="A36" s="7"/>
    </row>
    <row r="37" spans="1:1">
      <c r="A37" s="8" t="s">
        <v>559</v>
      </c>
    </row>
    <row r="41" spans="1:1" ht="23.4">
      <c r="A41" s="36" t="s">
        <v>265</v>
      </c>
    </row>
    <row r="43" spans="1:1" ht="18">
      <c r="A43" s="5" t="s">
        <v>560</v>
      </c>
    </row>
    <row r="45" spans="1:1">
      <c r="A45" s="6">
        <f>WORKDAY("01-Jan-2025", 10)</f>
        <v>45672</v>
      </c>
    </row>
    <row r="47" spans="1:1">
      <c r="A47" t="s">
        <v>584</v>
      </c>
    </row>
    <row r="51" spans="1:1" ht="18">
      <c r="A51" s="5" t="s">
        <v>561</v>
      </c>
    </row>
    <row r="53" spans="1:1">
      <c r="A53" t="s">
        <v>562</v>
      </c>
    </row>
    <row r="55" spans="1:1">
      <c r="A55" s="6">
        <f>WORKDAY("01-Jan-2025", 10, {"06-Jan-2025","13-Jan-2025"})</f>
        <v>45674</v>
      </c>
    </row>
    <row r="57" spans="1:1">
      <c r="A57" t="s">
        <v>585</v>
      </c>
    </row>
    <row r="61" spans="1:1" ht="18">
      <c r="A61" s="5" t="s">
        <v>563</v>
      </c>
    </row>
    <row r="63" spans="1:1">
      <c r="A63" s="6">
        <f>WORKDAY("15-Jan-2025", -5)</f>
        <v>45665</v>
      </c>
    </row>
    <row r="65" spans="1:1">
      <c r="A65" t="s">
        <v>586</v>
      </c>
    </row>
    <row r="69" spans="1:1" ht="18">
      <c r="A69" s="5" t="s">
        <v>564</v>
      </c>
    </row>
    <row r="71" spans="1:1">
      <c r="A71" t="s">
        <v>565</v>
      </c>
    </row>
    <row r="73" spans="1:1">
      <c r="A73" s="6">
        <f>WORKDAY(A2, B2, C2:C4)</f>
        <v>0</v>
      </c>
    </row>
    <row r="75" spans="1:1">
      <c r="A75" t="s">
        <v>566</v>
      </c>
    </row>
    <row r="76" spans="1:1">
      <c r="A76" s="7"/>
    </row>
    <row r="77" spans="1:1">
      <c r="A77" s="7" t="s">
        <v>567</v>
      </c>
    </row>
    <row r="78" spans="1:1">
      <c r="A78" s="7"/>
    </row>
    <row r="79" spans="1:1">
      <c r="A79" s="7" t="s">
        <v>568</v>
      </c>
    </row>
    <row r="80" spans="1:1">
      <c r="A80" s="7"/>
    </row>
    <row r="81" spans="1:1">
      <c r="A81" s="7" t="s">
        <v>569</v>
      </c>
    </row>
    <row r="83" spans="1:1">
      <c r="A83" t="s">
        <v>587</v>
      </c>
    </row>
    <row r="87" spans="1:1" ht="23.4">
      <c r="A87" s="36" t="s">
        <v>588</v>
      </c>
    </row>
    <row r="88" spans="1:1">
      <c r="A88" s="7"/>
    </row>
    <row r="89" spans="1:1">
      <c r="A89" s="8" t="s">
        <v>570</v>
      </c>
    </row>
    <row r="90" spans="1:1">
      <c r="A90" s="7"/>
    </row>
    <row r="91" spans="1:1">
      <c r="A91" s="8" t="s">
        <v>571</v>
      </c>
    </row>
    <row r="92" spans="1:1">
      <c r="A92" s="7"/>
    </row>
    <row r="93" spans="1:1">
      <c r="A93" s="8" t="s">
        <v>572</v>
      </c>
    </row>
    <row r="94" spans="1:1">
      <c r="A94" s="7"/>
    </row>
    <row r="95" spans="1:1">
      <c r="A95" s="8" t="s">
        <v>573</v>
      </c>
    </row>
    <row r="96" spans="1:1">
      <c r="A96" s="7"/>
    </row>
    <row r="97" spans="1:1">
      <c r="A97" s="8" t="s">
        <v>574</v>
      </c>
    </row>
    <row r="101" spans="1:1" ht="23.4">
      <c r="A101" s="36" t="s">
        <v>273</v>
      </c>
    </row>
    <row r="102" spans="1:1">
      <c r="A102" s="7"/>
    </row>
    <row r="103" spans="1:1">
      <c r="A103" s="7" t="s">
        <v>575</v>
      </c>
    </row>
    <row r="104" spans="1:1">
      <c r="A104" s="7"/>
    </row>
    <row r="105" spans="1:1">
      <c r="A105" s="7" t="s">
        <v>576</v>
      </c>
    </row>
    <row r="106" spans="1:1">
      <c r="A106" s="7"/>
    </row>
    <row r="107" spans="1:1">
      <c r="A107" s="7" t="s">
        <v>577</v>
      </c>
    </row>
    <row r="108" spans="1:1">
      <c r="A108" s="7"/>
    </row>
    <row r="109" spans="1:1">
      <c r="A109" s="7" t="s">
        <v>578</v>
      </c>
    </row>
    <row r="113" spans="1:1" ht="23.4">
      <c r="A113" s="36" t="s">
        <v>274</v>
      </c>
    </row>
    <row r="115" spans="1:1">
      <c r="A115" t="s">
        <v>579</v>
      </c>
    </row>
    <row r="116" spans="1:1">
      <c r="A116" t="s">
        <v>580</v>
      </c>
    </row>
    <row r="117" spans="1:1">
      <c r="A117" t="s">
        <v>581</v>
      </c>
    </row>
    <row r="118" spans="1:1">
      <c r="A118" t="s">
        <v>582</v>
      </c>
    </row>
    <row r="122" spans="1:1">
      <c r="A122" t="s">
        <v>589</v>
      </c>
    </row>
  </sheetData>
  <mergeCells count="1">
    <mergeCell ref="A1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B6B6-4E2E-4406-B3E1-A93875199B03}">
  <dimension ref="A1:J141"/>
  <sheetViews>
    <sheetView topLeftCell="A26" workbookViewId="0">
      <selection activeCell="A145" sqref="A145"/>
    </sheetView>
  </sheetViews>
  <sheetFormatPr defaultRowHeight="14.4"/>
  <cols>
    <col min="2" max="3" width="10.33203125" bestFit="1" customWidth="1"/>
    <col min="4" max="4" width="13.5546875" customWidth="1"/>
  </cols>
  <sheetData>
    <row r="1" spans="1:10">
      <c r="A1" s="50" t="s">
        <v>335</v>
      </c>
      <c r="B1" s="50"/>
      <c r="C1" s="50"/>
      <c r="D1" s="50"/>
      <c r="E1" s="50"/>
      <c r="F1" s="50"/>
      <c r="G1" s="50"/>
      <c r="H1" s="50"/>
      <c r="I1" s="50"/>
      <c r="J1" s="50"/>
    </row>
    <row r="2" spans="1:10">
      <c r="A2" s="50"/>
      <c r="B2" s="50"/>
      <c r="C2" s="50"/>
      <c r="D2" s="50"/>
      <c r="E2" s="50"/>
      <c r="F2" s="50"/>
      <c r="G2" s="50"/>
      <c r="H2" s="50"/>
      <c r="I2" s="50"/>
      <c r="J2" s="50"/>
    </row>
    <row r="3" spans="1:10">
      <c r="A3" s="25" t="s">
        <v>339</v>
      </c>
      <c r="B3" s="25" t="s">
        <v>336</v>
      </c>
      <c r="C3" s="25" t="s">
        <v>337</v>
      </c>
      <c r="D3" s="25" t="s">
        <v>338</v>
      </c>
    </row>
    <row r="4" spans="1:10">
      <c r="A4" s="1" t="s">
        <v>282</v>
      </c>
      <c r="B4" s="3">
        <v>45658</v>
      </c>
      <c r="C4" s="3">
        <v>45688</v>
      </c>
      <c r="D4" s="1">
        <f>NETWORKDAYS(B4,C4)</f>
        <v>23</v>
      </c>
    </row>
    <row r="5" spans="1:10">
      <c r="A5" s="1" t="s">
        <v>283</v>
      </c>
      <c r="B5" s="3">
        <v>45659</v>
      </c>
      <c r="C5" s="3">
        <v>45716</v>
      </c>
      <c r="D5" s="1">
        <f t="shared" ref="D5:D15" si="0">NETWORKDAYS(B5,C5)</f>
        <v>42</v>
      </c>
    </row>
    <row r="6" spans="1:10">
      <c r="A6" s="1" t="s">
        <v>284</v>
      </c>
      <c r="B6" s="3">
        <v>45660</v>
      </c>
      <c r="C6" s="3">
        <v>45719</v>
      </c>
      <c r="D6" s="1">
        <f t="shared" si="0"/>
        <v>42</v>
      </c>
    </row>
    <row r="7" spans="1:10">
      <c r="A7" s="1" t="s">
        <v>285</v>
      </c>
      <c r="B7" s="3">
        <v>45661</v>
      </c>
      <c r="C7" s="3">
        <v>45777</v>
      </c>
      <c r="D7" s="1">
        <f t="shared" si="0"/>
        <v>83</v>
      </c>
    </row>
    <row r="8" spans="1:10">
      <c r="A8" s="1" t="s">
        <v>286</v>
      </c>
      <c r="B8" s="3">
        <v>45662</v>
      </c>
      <c r="C8" s="3">
        <v>45808</v>
      </c>
      <c r="D8" s="1">
        <f t="shared" si="0"/>
        <v>105</v>
      </c>
    </row>
    <row r="9" spans="1:10">
      <c r="A9" s="1" t="s">
        <v>287</v>
      </c>
      <c r="B9" s="3">
        <v>45663</v>
      </c>
      <c r="C9" s="3">
        <v>45838</v>
      </c>
      <c r="D9" s="1">
        <f t="shared" si="0"/>
        <v>126</v>
      </c>
    </row>
    <row r="10" spans="1:10">
      <c r="A10" s="1" t="s">
        <v>288</v>
      </c>
      <c r="B10" s="3">
        <v>45664</v>
      </c>
      <c r="C10" s="3">
        <v>45869</v>
      </c>
      <c r="D10" s="1">
        <f t="shared" si="0"/>
        <v>148</v>
      </c>
    </row>
    <row r="11" spans="1:10">
      <c r="A11" s="1" t="s">
        <v>289</v>
      </c>
      <c r="B11" s="3">
        <v>45665</v>
      </c>
      <c r="C11" s="3">
        <v>45900</v>
      </c>
      <c r="D11" s="1">
        <f t="shared" si="0"/>
        <v>168</v>
      </c>
    </row>
    <row r="12" spans="1:10">
      <c r="A12" s="1" t="s">
        <v>290</v>
      </c>
      <c r="B12" s="3">
        <v>45666</v>
      </c>
      <c r="C12" s="3">
        <v>45930</v>
      </c>
      <c r="D12" s="1">
        <f t="shared" si="0"/>
        <v>189</v>
      </c>
    </row>
    <row r="13" spans="1:10">
      <c r="A13" s="1" t="s">
        <v>291</v>
      </c>
      <c r="B13" s="3">
        <v>45667</v>
      </c>
      <c r="C13" s="3">
        <v>45961</v>
      </c>
      <c r="D13" s="1">
        <f t="shared" si="0"/>
        <v>211</v>
      </c>
    </row>
    <row r="14" spans="1:10">
      <c r="A14" s="1" t="s">
        <v>292</v>
      </c>
      <c r="B14" s="3">
        <v>45668</v>
      </c>
      <c r="C14" s="3">
        <v>45991</v>
      </c>
      <c r="D14" s="1">
        <f t="shared" si="0"/>
        <v>230</v>
      </c>
    </row>
    <row r="15" spans="1:10">
      <c r="A15" s="1" t="s">
        <v>293</v>
      </c>
      <c r="B15" s="3">
        <v>45669</v>
      </c>
      <c r="C15" s="1" t="s">
        <v>340</v>
      </c>
      <c r="D15" s="1" t="e">
        <f t="shared" si="0"/>
        <v>#VALUE!</v>
      </c>
    </row>
    <row r="23" spans="1:1" ht="31.2">
      <c r="A23" s="4" t="s">
        <v>379</v>
      </c>
    </row>
    <row r="25" spans="1:1" ht="18">
      <c r="A25" s="5" t="s">
        <v>263</v>
      </c>
    </row>
    <row r="27" spans="1:1">
      <c r="A27" t="s">
        <v>347</v>
      </c>
    </row>
    <row r="28" spans="1:1">
      <c r="A28" t="s">
        <v>348</v>
      </c>
    </row>
    <row r="30" spans="1:1">
      <c r="A30" t="s">
        <v>349</v>
      </c>
    </row>
    <row r="34" spans="1:1" ht="18">
      <c r="A34" s="5" t="s">
        <v>222</v>
      </c>
    </row>
    <row r="36" spans="1:1">
      <c r="A36" s="6" t="s">
        <v>350</v>
      </c>
    </row>
    <row r="37" spans="1:1">
      <c r="A37" s="7"/>
    </row>
    <row r="38" spans="1:1">
      <c r="A38" s="8" t="s">
        <v>351</v>
      </c>
    </row>
    <row r="39" spans="1:1">
      <c r="A39" s="7"/>
    </row>
    <row r="40" spans="1:1">
      <c r="A40" s="8" t="s">
        <v>352</v>
      </c>
    </row>
    <row r="41" spans="1:1">
      <c r="A41" s="7"/>
    </row>
    <row r="42" spans="1:1">
      <c r="A42" s="8" t="s">
        <v>353</v>
      </c>
    </row>
    <row r="46" spans="1:1" ht="18">
      <c r="A46" s="5" t="s">
        <v>265</v>
      </c>
    </row>
    <row r="48" spans="1:1" ht="15.6">
      <c r="A48" s="23" t="s">
        <v>354</v>
      </c>
    </row>
    <row r="50" spans="1:1">
      <c r="A50" s="6">
        <f>NETWORKDAYS("01-Jan-2024", "31-Jan-2024")</f>
        <v>23</v>
      </c>
    </row>
    <row r="53" spans="1:1">
      <c r="A53" t="s">
        <v>355</v>
      </c>
    </row>
    <row r="57" spans="1:1" ht="15.6">
      <c r="A57" s="23" t="s">
        <v>356</v>
      </c>
    </row>
    <row r="59" spans="1:1">
      <c r="A59" t="s">
        <v>357</v>
      </c>
    </row>
    <row r="61" spans="1:1">
      <c r="A61" s="6" t="e">
        <f>NETWORKDAYS(A1, B1)</f>
        <v>#VALUE!</v>
      </c>
    </row>
    <row r="64" spans="1:1">
      <c r="A64" t="s">
        <v>358</v>
      </c>
    </row>
    <row r="68" spans="1:1" ht="15.6">
      <c r="A68" s="23" t="s">
        <v>359</v>
      </c>
    </row>
    <row r="70" spans="1:1">
      <c r="A70" t="s">
        <v>360</v>
      </c>
    </row>
    <row r="72" spans="1:1">
      <c r="A72" s="6">
        <f>NETWORKDAYS("01-Aug-2024", "31-Oct-2024", C1:C2)</f>
        <v>66</v>
      </c>
    </row>
    <row r="74" spans="1:1">
      <c r="A74" t="s">
        <v>380</v>
      </c>
    </row>
    <row r="78" spans="1:1" ht="15.6">
      <c r="A78" s="23" t="s">
        <v>361</v>
      </c>
    </row>
    <row r="80" spans="1:1">
      <c r="A80" s="6">
        <f>NETWORKDAYS("01-Mar-2024", "01-Mar-2024")</f>
        <v>1</v>
      </c>
    </row>
    <row r="82" spans="1:1">
      <c r="A82" t="s">
        <v>381</v>
      </c>
    </row>
    <row r="86" spans="1:1" ht="15.6">
      <c r="A86" s="23" t="s">
        <v>362</v>
      </c>
    </row>
    <row r="88" spans="1:1">
      <c r="A88" s="6">
        <f>NETWORKDAYS("31-Mar-2024", "01-Mar-2024")</f>
        <v>-21</v>
      </c>
    </row>
    <row r="90" spans="1:1">
      <c r="A90" t="s">
        <v>363</v>
      </c>
    </row>
    <row r="94" spans="1:1" ht="15.6">
      <c r="A94" s="23" t="s">
        <v>364</v>
      </c>
    </row>
    <row r="96" spans="1:1">
      <c r="A96" s="6">
        <f>NETWORKDAYS("01-Feb-2024", "29-Feb-2024")</f>
        <v>21</v>
      </c>
    </row>
    <row r="98" spans="1:1">
      <c r="A98" t="s">
        <v>382</v>
      </c>
    </row>
    <row r="102" spans="1:1" ht="18">
      <c r="A102" s="5" t="s">
        <v>332</v>
      </c>
    </row>
    <row r="103" spans="1:1">
      <c r="A103" s="7"/>
    </row>
    <row r="104" spans="1:1">
      <c r="A104" s="8" t="s">
        <v>365</v>
      </c>
    </row>
    <row r="105" spans="1:1">
      <c r="A105" s="7"/>
    </row>
    <row r="106" spans="1:1">
      <c r="A106" s="8" t="s">
        <v>366</v>
      </c>
    </row>
    <row r="107" spans="1:1">
      <c r="A107" s="7"/>
    </row>
    <row r="108" spans="1:1">
      <c r="A108" s="8" t="s">
        <v>367</v>
      </c>
    </row>
    <row r="109" spans="1:1">
      <c r="A109" s="7"/>
    </row>
    <row r="110" spans="1:1">
      <c r="A110" s="8" t="s">
        <v>368</v>
      </c>
    </row>
    <row r="111" spans="1:1">
      <c r="A111" s="7"/>
    </row>
    <row r="112" spans="1:1">
      <c r="A112" s="8" t="s">
        <v>369</v>
      </c>
    </row>
    <row r="116" spans="1:1" ht="18">
      <c r="A116" s="5" t="s">
        <v>273</v>
      </c>
    </row>
    <row r="117" spans="1:1">
      <c r="A117" s="7"/>
    </row>
    <row r="118" spans="1:1">
      <c r="A118" s="7" t="s">
        <v>370</v>
      </c>
    </row>
    <row r="119" spans="1:1">
      <c r="A119" s="7"/>
    </row>
    <row r="120" spans="1:1">
      <c r="A120" s="7" t="s">
        <v>371</v>
      </c>
    </row>
    <row r="121" spans="1:1">
      <c r="A121" s="7"/>
    </row>
    <row r="122" spans="1:1">
      <c r="A122" s="7" t="s">
        <v>372</v>
      </c>
    </row>
    <row r="123" spans="1:1">
      <c r="A123" s="7"/>
    </row>
    <row r="124" spans="1:1">
      <c r="A124" s="7" t="s">
        <v>373</v>
      </c>
    </row>
    <row r="128" spans="1:1" ht="18">
      <c r="A128" s="5" t="s">
        <v>274</v>
      </c>
    </row>
    <row r="129" spans="1:1">
      <c r="A129" s="7"/>
    </row>
    <row r="130" spans="1:1">
      <c r="A130" s="7" t="s">
        <v>374</v>
      </c>
    </row>
    <row r="131" spans="1:1">
      <c r="A131" s="7"/>
    </row>
    <row r="132" spans="1:1">
      <c r="A132" s="7" t="s">
        <v>375</v>
      </c>
    </row>
    <row r="133" spans="1:1">
      <c r="A133" s="7"/>
    </row>
    <row r="134" spans="1:1">
      <c r="A134" s="7" t="s">
        <v>376</v>
      </c>
    </row>
    <row r="135" spans="1:1">
      <c r="A135" s="7"/>
    </row>
    <row r="136" spans="1:1">
      <c r="A136" s="7" t="s">
        <v>377</v>
      </c>
    </row>
    <row r="140" spans="1:1">
      <c r="A140" t="s">
        <v>383</v>
      </c>
    </row>
    <row r="141" spans="1:1">
      <c r="A141" t="s">
        <v>378</v>
      </c>
    </row>
  </sheetData>
  <mergeCells count="1">
    <mergeCell ref="A1:J2"/>
  </mergeCells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70E4-8A29-42A5-AAA6-F42B9D775AD0}">
  <dimension ref="D1:G199"/>
  <sheetViews>
    <sheetView topLeftCell="A13" workbookViewId="0">
      <selection activeCell="D199" sqref="D199"/>
    </sheetView>
  </sheetViews>
  <sheetFormatPr defaultRowHeight="14.4"/>
  <sheetData>
    <row r="1" spans="4:7" ht="23.4">
      <c r="D1" s="54" t="s">
        <v>341</v>
      </c>
      <c r="E1" s="54"/>
      <c r="F1" s="54"/>
      <c r="G1" s="54"/>
    </row>
    <row r="2" spans="4:7">
      <c r="D2" s="55">
        <f>NETWORKDAYS.INTL(D6,F6,2,D12:E15)</f>
        <v>14</v>
      </c>
      <c r="E2" s="55"/>
      <c r="F2" s="55"/>
      <c r="G2" s="55"/>
    </row>
    <row r="4" spans="4:7">
      <c r="D4" s="56"/>
      <c r="E4" s="56"/>
      <c r="F4" s="56"/>
      <c r="G4" s="56"/>
    </row>
    <row r="5" spans="4:7" ht="23.4">
      <c r="D5" s="57" t="s">
        <v>342</v>
      </c>
      <c r="E5" s="57"/>
      <c r="F5" s="57" t="s">
        <v>343</v>
      </c>
      <c r="G5" s="57"/>
    </row>
    <row r="6" spans="4:7">
      <c r="D6" s="58">
        <v>45778</v>
      </c>
      <c r="E6" s="55"/>
      <c r="F6" s="59">
        <v>45800</v>
      </c>
      <c r="G6" s="60"/>
    </row>
    <row r="7" spans="4:7">
      <c r="D7" s="58">
        <v>45779</v>
      </c>
      <c r="E7" s="55"/>
      <c r="F7" s="59">
        <v>45801</v>
      </c>
      <c r="G7" s="60"/>
    </row>
    <row r="8" spans="4:7">
      <c r="D8" s="58">
        <v>45780</v>
      </c>
      <c r="E8" s="55"/>
      <c r="F8" s="59">
        <v>45802</v>
      </c>
      <c r="G8" s="60"/>
    </row>
    <row r="9" spans="4:7">
      <c r="D9" s="58">
        <v>45781</v>
      </c>
      <c r="E9" s="55"/>
      <c r="F9" s="59">
        <v>45803</v>
      </c>
      <c r="G9" s="60"/>
    </row>
    <row r="11" spans="4:7" ht="25.8">
      <c r="D11" s="53" t="s">
        <v>344</v>
      </c>
      <c r="E11" s="53"/>
      <c r="F11" s="53"/>
      <c r="G11" s="53"/>
    </row>
    <row r="12" spans="4:7">
      <c r="D12" s="51">
        <v>45779</v>
      </c>
      <c r="E12" s="52"/>
      <c r="F12" s="52" t="s">
        <v>384</v>
      </c>
      <c r="G12" s="52"/>
    </row>
    <row r="13" spans="4:7">
      <c r="D13" s="51">
        <v>45789</v>
      </c>
      <c r="E13" s="52"/>
      <c r="F13" s="52" t="s">
        <v>345</v>
      </c>
      <c r="G13" s="52"/>
    </row>
    <row r="14" spans="4:7">
      <c r="D14" s="51">
        <v>45794</v>
      </c>
      <c r="E14" s="52"/>
      <c r="F14" s="52" t="s">
        <v>385</v>
      </c>
      <c r="G14" s="52"/>
    </row>
    <row r="15" spans="4:7">
      <c r="D15" s="51">
        <v>45797</v>
      </c>
      <c r="E15" s="52"/>
      <c r="F15" s="52" t="s">
        <v>346</v>
      </c>
      <c r="G15" s="52"/>
    </row>
    <row r="23" spans="4:4" ht="31.2">
      <c r="D23" s="4" t="s">
        <v>448</v>
      </c>
    </row>
    <row r="25" spans="4:4" ht="18">
      <c r="D25" s="5" t="s">
        <v>325</v>
      </c>
    </row>
    <row r="27" spans="4:4">
      <c r="D27" t="s">
        <v>394</v>
      </c>
    </row>
    <row r="28" spans="4:4">
      <c r="D28" t="s">
        <v>395</v>
      </c>
    </row>
    <row r="34" spans="4:4" ht="18">
      <c r="D34" s="5" t="s">
        <v>222</v>
      </c>
    </row>
    <row r="36" spans="4:4">
      <c r="D36" s="6" t="s">
        <v>396</v>
      </c>
    </row>
    <row r="38" spans="4:4" ht="15.6">
      <c r="D38" s="23" t="s">
        <v>397</v>
      </c>
    </row>
    <row r="39" spans="4:4">
      <c r="D39" s="7"/>
    </row>
    <row r="40" spans="4:4">
      <c r="D40" s="8" t="s">
        <v>398</v>
      </c>
    </row>
    <row r="41" spans="4:4">
      <c r="D41" s="7"/>
    </row>
    <row r="42" spans="4:4">
      <c r="D42" s="8" t="s">
        <v>399</v>
      </c>
    </row>
    <row r="43" spans="4:4">
      <c r="D43" s="7"/>
    </row>
    <row r="44" spans="4:4">
      <c r="D44" s="8" t="s">
        <v>400</v>
      </c>
    </row>
    <row r="45" spans="4:4">
      <c r="D45" s="7"/>
    </row>
    <row r="46" spans="4:4">
      <c r="D46" s="7"/>
    </row>
    <row r="47" spans="4:4">
      <c r="D47" s="17"/>
    </row>
    <row r="48" spans="4:4">
      <c r="D48" s="17" t="s">
        <v>401</v>
      </c>
    </row>
    <row r="49" spans="4:4">
      <c r="D49" s="17"/>
    </row>
    <row r="50" spans="4:4">
      <c r="D50" s="17" t="s">
        <v>402</v>
      </c>
    </row>
    <row r="51" spans="4:4">
      <c r="D51" s="7"/>
    </row>
    <row r="52" spans="4:4">
      <c r="D52" s="8" t="s">
        <v>403</v>
      </c>
    </row>
    <row r="56" spans="4:4" ht="18">
      <c r="D56" s="5" t="s">
        <v>449</v>
      </c>
    </row>
    <row r="57" spans="4:4">
      <c r="D57" s="7"/>
    </row>
    <row r="58" spans="4:4">
      <c r="D58" s="8" t="s">
        <v>404</v>
      </c>
    </row>
    <row r="59" spans="4:4">
      <c r="D59" s="7"/>
    </row>
    <row r="60" spans="4:4">
      <c r="D60" s="8" t="s">
        <v>405</v>
      </c>
    </row>
    <row r="61" spans="4:4">
      <c r="D61" s="7"/>
    </row>
    <row r="62" spans="4:4">
      <c r="D62" s="8" t="s">
        <v>406</v>
      </c>
    </row>
    <row r="63" spans="4:4">
      <c r="D63" s="7"/>
    </row>
    <row r="64" spans="4:4">
      <c r="D64" s="8" t="s">
        <v>407</v>
      </c>
    </row>
    <row r="65" spans="4:4">
      <c r="D65" s="7"/>
    </row>
    <row r="66" spans="4:4">
      <c r="D66" s="8" t="s">
        <v>408</v>
      </c>
    </row>
    <row r="67" spans="4:4">
      <c r="D67" s="7"/>
    </row>
    <row r="68" spans="4:4">
      <c r="D68" s="8" t="s">
        <v>409</v>
      </c>
    </row>
    <row r="69" spans="4:4">
      <c r="D69" s="7"/>
    </row>
    <row r="70" spans="4:4">
      <c r="D70" s="8" t="s">
        <v>410</v>
      </c>
    </row>
    <row r="71" spans="4:4">
      <c r="D71" s="7"/>
    </row>
    <row r="72" spans="4:4">
      <c r="D72" s="8" t="s">
        <v>411</v>
      </c>
    </row>
    <row r="73" spans="4:4">
      <c r="D73" s="7"/>
    </row>
    <row r="74" spans="4:4">
      <c r="D74" s="8" t="s">
        <v>412</v>
      </c>
    </row>
    <row r="75" spans="4:4">
      <c r="D75" s="7"/>
    </row>
    <row r="76" spans="4:4">
      <c r="D76" s="8" t="s">
        <v>413</v>
      </c>
    </row>
    <row r="77" spans="4:4">
      <c r="D77" s="7"/>
    </row>
    <row r="78" spans="4:4">
      <c r="D78" s="8" t="s">
        <v>414</v>
      </c>
    </row>
    <row r="79" spans="4:4">
      <c r="D79" s="7"/>
    </row>
    <row r="80" spans="4:4">
      <c r="D80" s="8" t="s">
        <v>415</v>
      </c>
    </row>
    <row r="81" spans="4:4">
      <c r="D81" s="7"/>
    </row>
    <row r="82" spans="4:4">
      <c r="D82" s="8" t="s">
        <v>416</v>
      </c>
    </row>
    <row r="83" spans="4:4">
      <c r="D83" s="7"/>
    </row>
    <row r="84" spans="4:4">
      <c r="D84" s="8" t="s">
        <v>417</v>
      </c>
    </row>
    <row r="88" spans="4:4" ht="18">
      <c r="D88" s="5" t="s">
        <v>450</v>
      </c>
    </row>
    <row r="90" spans="4:4">
      <c r="D90" t="s">
        <v>418</v>
      </c>
    </row>
    <row r="91" spans="4:4">
      <c r="D91" s="7"/>
    </row>
    <row r="92" spans="4:4">
      <c r="D92" s="8" t="s">
        <v>419</v>
      </c>
    </row>
    <row r="93" spans="4:4">
      <c r="D93" s="7"/>
    </row>
    <row r="94" spans="4:4">
      <c r="D94" s="8" t="s">
        <v>420</v>
      </c>
    </row>
    <row r="95" spans="4:4">
      <c r="D95" s="7"/>
    </row>
    <row r="96" spans="4:4">
      <c r="D96" s="7" t="s">
        <v>421</v>
      </c>
    </row>
    <row r="98" spans="4:4">
      <c r="D98" t="s">
        <v>422</v>
      </c>
    </row>
    <row r="99" spans="4:4">
      <c r="D99" s="7"/>
    </row>
    <row r="100" spans="4:4">
      <c r="D100" s="30" t="s">
        <v>423</v>
      </c>
    </row>
    <row r="101" spans="4:4">
      <c r="D101" s="7"/>
    </row>
    <row r="102" spans="4:4">
      <c r="D102" s="30" t="s">
        <v>424</v>
      </c>
    </row>
    <row r="103" spans="4:4">
      <c r="D103" s="7"/>
    </row>
    <row r="104" spans="4:4">
      <c r="D104" s="30" t="s">
        <v>425</v>
      </c>
    </row>
    <row r="108" spans="4:4" ht="18">
      <c r="D108" s="5" t="s">
        <v>265</v>
      </c>
    </row>
    <row r="110" spans="4:4" ht="15.6">
      <c r="D110" s="23" t="s">
        <v>426</v>
      </c>
    </row>
    <row r="112" spans="4:4">
      <c r="D112" s="6">
        <f>NETWORKDAYS.INTL("01-Jan-2024", "31-Jan-2024")</f>
        <v>23</v>
      </c>
    </row>
    <row r="114" spans="4:4">
      <c r="D114" t="s">
        <v>451</v>
      </c>
    </row>
    <row r="118" spans="4:4" ht="15.6">
      <c r="D118" s="23" t="s">
        <v>427</v>
      </c>
    </row>
    <row r="120" spans="4:4">
      <c r="D120" s="6">
        <f>NETWORKDAYS.INTL("01-Jan-2024", "31-Jan-2024", 7)</f>
        <v>23</v>
      </c>
    </row>
    <row r="122" spans="4:4">
      <c r="D122" t="s">
        <v>452</v>
      </c>
    </row>
    <row r="126" spans="4:4" ht="15.6">
      <c r="D126" s="23" t="s">
        <v>428</v>
      </c>
    </row>
    <row r="128" spans="4:4">
      <c r="D128" s="6">
        <f>NETWORKDAYS.INTL("01-Jan-2024", "31-Jan-2024", 11)</f>
        <v>27</v>
      </c>
    </row>
    <row r="130" spans="4:4">
      <c r="D130" t="s">
        <v>453</v>
      </c>
    </row>
    <row r="134" spans="4:4" ht="15.6">
      <c r="D134" s="23" t="s">
        <v>429</v>
      </c>
    </row>
    <row r="136" spans="4:4">
      <c r="D136" s="6">
        <f>NETWORKDAYS.INTL("01-Jan-2024", "31-Jan-2024", "1100000")</f>
        <v>21</v>
      </c>
    </row>
    <row r="138" spans="4:4">
      <c r="D138" t="s">
        <v>451</v>
      </c>
    </row>
    <row r="142" spans="4:4" ht="15.6">
      <c r="D142" s="23" t="s">
        <v>430</v>
      </c>
    </row>
    <row r="144" spans="4:4">
      <c r="D144" t="s">
        <v>431</v>
      </c>
    </row>
    <row r="146" spans="4:4">
      <c r="D146" s="6">
        <f>NETWORKDAYS.INTL("01-Jan-2024", "31-Jan-2024", 1, C1:C2)</f>
        <v>23</v>
      </c>
    </row>
    <row r="148" spans="4:4">
      <c r="D148" t="s">
        <v>454</v>
      </c>
    </row>
    <row r="152" spans="4:4" ht="15.6">
      <c r="D152" s="23" t="s">
        <v>432</v>
      </c>
    </row>
    <row r="154" spans="4:4">
      <c r="D154" s="6">
        <f>NETWORKDAYS.INTL("31-Jan-2024", "01-Jan-2024", 1)</f>
        <v>-23</v>
      </c>
    </row>
    <row r="156" spans="4:4">
      <c r="D156" t="s">
        <v>455</v>
      </c>
    </row>
    <row r="160" spans="4:4" ht="18">
      <c r="D160" s="5" t="s">
        <v>332</v>
      </c>
    </row>
    <row r="161" spans="4:4">
      <c r="D161" s="7"/>
    </row>
    <row r="162" spans="4:4">
      <c r="D162" s="8" t="s">
        <v>433</v>
      </c>
    </row>
    <row r="163" spans="4:4">
      <c r="D163" s="7"/>
    </row>
    <row r="164" spans="4:4">
      <c r="D164" s="8" t="s">
        <v>434</v>
      </c>
    </row>
    <row r="165" spans="4:4">
      <c r="D165" s="7"/>
    </row>
    <row r="166" spans="4:4">
      <c r="D166" s="8" t="s">
        <v>435</v>
      </c>
    </row>
    <row r="167" spans="4:4">
      <c r="D167" s="7"/>
    </row>
    <row r="168" spans="4:4">
      <c r="D168" s="8" t="s">
        <v>436</v>
      </c>
    </row>
    <row r="169" spans="4:4">
      <c r="D169" s="7"/>
    </row>
    <row r="170" spans="4:4">
      <c r="D170" s="8" t="s">
        <v>437</v>
      </c>
    </row>
    <row r="174" spans="4:4" ht="18">
      <c r="D174" s="5" t="s">
        <v>273</v>
      </c>
    </row>
    <row r="175" spans="4:4">
      <c r="D175" s="7"/>
    </row>
    <row r="176" spans="4:4">
      <c r="D176" s="7" t="s">
        <v>438</v>
      </c>
    </row>
    <row r="177" spans="4:4">
      <c r="D177" s="7"/>
    </row>
    <row r="178" spans="4:4">
      <c r="D178" s="7" t="s">
        <v>439</v>
      </c>
    </row>
    <row r="179" spans="4:4">
      <c r="D179" s="7"/>
    </row>
    <row r="180" spans="4:4">
      <c r="D180" s="7" t="s">
        <v>440</v>
      </c>
    </row>
    <row r="181" spans="4:4">
      <c r="D181" s="7"/>
    </row>
    <row r="182" spans="4:4">
      <c r="D182" s="7" t="s">
        <v>441</v>
      </c>
    </row>
    <row r="186" spans="4:4" ht="18">
      <c r="D186" s="5" t="s">
        <v>442</v>
      </c>
    </row>
    <row r="187" spans="4:4">
      <c r="D187" s="7"/>
    </row>
    <row r="188" spans="4:4">
      <c r="D188" s="7" t="s">
        <v>443</v>
      </c>
    </row>
    <row r="189" spans="4:4">
      <c r="D189" s="7"/>
    </row>
    <row r="190" spans="4:4">
      <c r="D190" s="7" t="s">
        <v>444</v>
      </c>
    </row>
    <row r="191" spans="4:4">
      <c r="D191" s="7"/>
    </row>
    <row r="192" spans="4:4">
      <c r="D192" s="7" t="s">
        <v>445</v>
      </c>
    </row>
    <row r="193" spans="4:4">
      <c r="D193" s="7"/>
    </row>
    <row r="194" spans="4:4">
      <c r="D194" s="7" t="s">
        <v>446</v>
      </c>
    </row>
    <row r="198" spans="4:4">
      <c r="D198" t="s">
        <v>383</v>
      </c>
    </row>
    <row r="199" spans="4:4">
      <c r="D199" t="s">
        <v>447</v>
      </c>
    </row>
  </sheetData>
  <mergeCells count="22">
    <mergeCell ref="D11:G11"/>
    <mergeCell ref="D1:G1"/>
    <mergeCell ref="D2:G2"/>
    <mergeCell ref="D4:G4"/>
    <mergeCell ref="D5:E5"/>
    <mergeCell ref="F5:G5"/>
    <mergeCell ref="D6:E6"/>
    <mergeCell ref="F6:G6"/>
    <mergeCell ref="D7:E7"/>
    <mergeCell ref="D8:E8"/>
    <mergeCell ref="D9:E9"/>
    <mergeCell ref="F7:G7"/>
    <mergeCell ref="F8:G8"/>
    <mergeCell ref="F9:G9"/>
    <mergeCell ref="D12:E12"/>
    <mergeCell ref="D13:E13"/>
    <mergeCell ref="D14:E14"/>
    <mergeCell ref="D15:E15"/>
    <mergeCell ref="F12:G12"/>
    <mergeCell ref="F13:G13"/>
    <mergeCell ref="F14:G14"/>
    <mergeCell ref="F15:G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5896-58A7-4DF3-8036-B7782AAA59ED}">
  <dimension ref="A1:C5"/>
  <sheetViews>
    <sheetView workbookViewId="0">
      <selection activeCell="E1" sqref="E1"/>
    </sheetView>
  </sheetViews>
  <sheetFormatPr defaultRowHeight="14.4"/>
  <sheetData>
    <row r="1" spans="1:3" ht="25.8">
      <c r="A1" s="61" t="s">
        <v>386</v>
      </c>
      <c r="B1" s="61"/>
      <c r="C1" s="61"/>
    </row>
    <row r="2" spans="1:3">
      <c r="A2" s="1" t="s">
        <v>387</v>
      </c>
      <c r="B2" s="1">
        <v>18</v>
      </c>
    </row>
    <row r="3" spans="1:3">
      <c r="A3" s="1" t="s">
        <v>388</v>
      </c>
      <c r="B3" s="1">
        <v>45</v>
      </c>
    </row>
    <row r="4" spans="1:3">
      <c r="A4" s="1" t="s">
        <v>389</v>
      </c>
      <c r="B4" s="1">
        <v>20</v>
      </c>
    </row>
    <row r="5" spans="1:3">
      <c r="A5" s="1" t="s">
        <v>390</v>
      </c>
      <c r="B5" s="29">
        <f>TIME(B2,B3,B4)</f>
        <v>0.78148148148148144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3799-134C-4DC5-A859-9719DF4EDAD2}">
  <dimension ref="A1:D6"/>
  <sheetViews>
    <sheetView workbookViewId="0">
      <selection activeCell="D17" sqref="D17"/>
    </sheetView>
  </sheetViews>
  <sheetFormatPr defaultRowHeight="14.4"/>
  <cols>
    <col min="1" max="1" width="16.44140625" customWidth="1"/>
    <col min="2" max="2" width="14.77734375" customWidth="1"/>
  </cols>
  <sheetData>
    <row r="1" spans="1:4">
      <c r="A1" s="62" t="s">
        <v>391</v>
      </c>
      <c r="B1" s="62"/>
      <c r="C1" s="62"/>
      <c r="D1" s="62"/>
    </row>
    <row r="2" spans="1:4">
      <c r="A2" s="62"/>
      <c r="B2" s="62"/>
      <c r="C2" s="62"/>
      <c r="D2" s="62"/>
    </row>
    <row r="3" spans="1:4">
      <c r="A3" s="24" t="s">
        <v>392</v>
      </c>
      <c r="B3" s="24" t="s">
        <v>393</v>
      </c>
    </row>
    <row r="4" spans="1:4">
      <c r="A4" s="31">
        <v>0.35474537037037035</v>
      </c>
      <c r="B4" s="1" t="e">
        <f>TIMEVALUE(A4)</f>
        <v>#VALUE!</v>
      </c>
    </row>
    <row r="5" spans="1:4">
      <c r="A5" s="32" t="s">
        <v>456</v>
      </c>
      <c r="B5" s="1">
        <f>TIMEVALUE(A5)</f>
        <v>0.41018518518518521</v>
      </c>
    </row>
    <row r="6" spans="1:4">
      <c r="A6" s="31">
        <v>0.28159722222222222</v>
      </c>
      <c r="B6" s="1"/>
    </row>
  </sheetData>
  <mergeCells count="1">
    <mergeCell ref="A1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F356-47B9-48D0-B1BD-DE74E340EFE4}">
  <dimension ref="A1:E9"/>
  <sheetViews>
    <sheetView zoomScale="107" workbookViewId="0">
      <selection activeCell="A10" sqref="A10"/>
    </sheetView>
  </sheetViews>
  <sheetFormatPr defaultRowHeight="14.4"/>
  <cols>
    <col min="1" max="1" width="18" customWidth="1"/>
    <col min="2" max="2" width="20.21875" customWidth="1"/>
  </cols>
  <sheetData>
    <row r="1" spans="1:5">
      <c r="A1" s="63" t="s">
        <v>461</v>
      </c>
      <c r="B1" s="60"/>
      <c r="C1" s="60"/>
      <c r="D1" s="60"/>
      <c r="E1" s="60"/>
    </row>
    <row r="2" spans="1:5">
      <c r="A2" s="60"/>
      <c r="B2" s="60"/>
      <c r="C2" s="60"/>
      <c r="D2" s="60"/>
      <c r="E2" s="60"/>
    </row>
    <row r="3" spans="1:5">
      <c r="A3" s="24" t="s">
        <v>457</v>
      </c>
      <c r="B3" s="24" t="s">
        <v>458</v>
      </c>
    </row>
    <row r="4" spans="1:5">
      <c r="A4" s="26">
        <v>45963</v>
      </c>
      <c r="B4" s="24" t="e">
        <f>DATEVALUE(A4)</f>
        <v>#VALUE!</v>
      </c>
    </row>
    <row r="5" spans="1:5">
      <c r="A5" s="34" t="s">
        <v>459</v>
      </c>
      <c r="B5" s="24">
        <f>DATEVALUE(A5)</f>
        <v>45964</v>
      </c>
    </row>
    <row r="6" spans="1:5">
      <c r="A6" s="34" t="s">
        <v>460</v>
      </c>
      <c r="B6" s="24">
        <f>DATEVALUE(A6)</f>
        <v>45750</v>
      </c>
    </row>
    <row r="9" spans="1:5">
      <c r="A9" t="s">
        <v>468</v>
      </c>
    </row>
  </sheetData>
  <mergeCells count="1">
    <mergeCell ref="A1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1CD7-6AFB-43EA-830E-FDB7CE07CB4B}">
  <dimension ref="A1:G112"/>
  <sheetViews>
    <sheetView topLeftCell="A17" workbookViewId="0">
      <selection activeCell="A10" sqref="A10"/>
    </sheetView>
  </sheetViews>
  <sheetFormatPr defaultRowHeight="14.4"/>
  <cols>
    <col min="1" max="1" width="10.33203125" bestFit="1" customWidth="1"/>
  </cols>
  <sheetData>
    <row r="1" spans="1:7">
      <c r="A1" s="64" t="s">
        <v>462</v>
      </c>
      <c r="B1" s="64"/>
      <c r="C1" s="64"/>
      <c r="D1" s="64"/>
      <c r="E1" s="64"/>
      <c r="F1" s="64"/>
      <c r="G1" s="64"/>
    </row>
    <row r="2" spans="1:7">
      <c r="A2" s="64"/>
      <c r="B2" s="64"/>
      <c r="C2" s="64"/>
      <c r="D2" s="64"/>
      <c r="E2" s="64"/>
      <c r="F2" s="64"/>
      <c r="G2" s="64"/>
    </row>
    <row r="3" spans="1:7">
      <c r="A3" s="25" t="s">
        <v>279</v>
      </c>
      <c r="B3" s="25" t="s">
        <v>463</v>
      </c>
    </row>
    <row r="4" spans="1:7">
      <c r="A4" s="3">
        <v>46013</v>
      </c>
      <c r="B4" s="1">
        <f>WEEKDAY(A4)</f>
        <v>2</v>
      </c>
      <c r="C4">
        <v>1</v>
      </c>
      <c r="D4" t="s">
        <v>464</v>
      </c>
    </row>
    <row r="5" spans="1:7">
      <c r="A5" s="3">
        <v>45765</v>
      </c>
      <c r="B5" s="1"/>
      <c r="C5">
        <v>2</v>
      </c>
      <c r="D5" t="s">
        <v>345</v>
      </c>
    </row>
    <row r="6" spans="1:7">
      <c r="A6" s="3">
        <v>45666</v>
      </c>
      <c r="B6" s="1"/>
      <c r="C6">
        <v>3</v>
      </c>
      <c r="D6" t="s">
        <v>346</v>
      </c>
    </row>
    <row r="7" spans="1:7">
      <c r="A7" s="3">
        <v>45717</v>
      </c>
      <c r="B7" s="1"/>
      <c r="C7">
        <v>4</v>
      </c>
      <c r="D7" t="s">
        <v>465</v>
      </c>
    </row>
    <row r="8" spans="1:7">
      <c r="A8" s="3">
        <v>45751</v>
      </c>
      <c r="B8" s="1"/>
      <c r="C8">
        <v>5</v>
      </c>
      <c r="D8" t="s">
        <v>466</v>
      </c>
    </row>
    <row r="9" spans="1:7">
      <c r="C9">
        <v>6</v>
      </c>
      <c r="D9" t="s">
        <v>467</v>
      </c>
    </row>
    <row r="10" spans="1:7">
      <c r="C10">
        <v>7</v>
      </c>
      <c r="D10" t="s">
        <v>385</v>
      </c>
    </row>
    <row r="17" spans="1:1" ht="31.2">
      <c r="A17" s="4" t="s">
        <v>469</v>
      </c>
    </row>
    <row r="19" spans="1:1" ht="18">
      <c r="A19" s="5" t="s">
        <v>263</v>
      </c>
    </row>
    <row r="21" spans="1:1">
      <c r="A21" t="s">
        <v>470</v>
      </c>
    </row>
    <row r="22" spans="1:1">
      <c r="A22" t="s">
        <v>471</v>
      </c>
    </row>
    <row r="26" spans="1:1" ht="18">
      <c r="A26" s="5" t="s">
        <v>264</v>
      </c>
    </row>
    <row r="28" spans="1:1">
      <c r="A28" s="6" t="s">
        <v>472</v>
      </c>
    </row>
    <row r="29" spans="1:1">
      <c r="A29" s="7"/>
    </row>
    <row r="30" spans="1:1">
      <c r="A30" s="8" t="s">
        <v>473</v>
      </c>
    </row>
    <row r="31" spans="1:1">
      <c r="A31" s="7"/>
    </row>
    <row r="32" spans="1:1">
      <c r="A32" s="8" t="s">
        <v>474</v>
      </c>
    </row>
    <row r="36" spans="1:3" ht="18">
      <c r="A36" s="5" t="s">
        <v>475</v>
      </c>
    </row>
    <row r="38" spans="1:3" ht="28.8">
      <c r="A38" s="9" t="s">
        <v>476</v>
      </c>
      <c r="B38" s="9" t="s">
        <v>477</v>
      </c>
      <c r="C38" s="9" t="s">
        <v>72</v>
      </c>
    </row>
    <row r="39" spans="1:3" ht="72">
      <c r="A39" s="10" t="s">
        <v>478</v>
      </c>
      <c r="B39" s="10" t="s">
        <v>479</v>
      </c>
      <c r="C39" s="10" t="s">
        <v>480</v>
      </c>
    </row>
    <row r="40" spans="1:3" ht="86.4">
      <c r="A40" s="10">
        <v>2</v>
      </c>
      <c r="B40" s="10" t="s">
        <v>481</v>
      </c>
      <c r="C40" s="10" t="s">
        <v>482</v>
      </c>
    </row>
    <row r="41" spans="1:3" ht="86.4">
      <c r="A41" s="10">
        <v>3</v>
      </c>
      <c r="B41" s="10" t="s">
        <v>483</v>
      </c>
      <c r="C41" s="10" t="s">
        <v>482</v>
      </c>
    </row>
    <row r="44" spans="1:3" ht="18">
      <c r="A44" s="5" t="s">
        <v>484</v>
      </c>
    </row>
    <row r="46" spans="1:3" ht="15.6">
      <c r="A46" s="23" t="s">
        <v>485</v>
      </c>
    </row>
    <row r="48" spans="1:3">
      <c r="A48" s="6">
        <f>WEEKDAY("25-Aug-2025")</f>
        <v>2</v>
      </c>
    </row>
    <row r="50" spans="1:1">
      <c r="A50" t="s">
        <v>503</v>
      </c>
    </row>
    <row r="54" spans="1:1" ht="15.6">
      <c r="A54" s="23" t="s">
        <v>486</v>
      </c>
    </row>
    <row r="56" spans="1:1">
      <c r="A56" s="6">
        <f>WEEKDAY("25-Aug-2025", 2)</f>
        <v>1</v>
      </c>
    </row>
    <row r="58" spans="1:1">
      <c r="A58" t="s">
        <v>504</v>
      </c>
    </row>
    <row r="62" spans="1:1" ht="15.6">
      <c r="A62" s="23" t="s">
        <v>487</v>
      </c>
    </row>
    <row r="64" spans="1:1">
      <c r="A64" s="6">
        <f>WEEKDAY("25-Aug-2025", 3)</f>
        <v>0</v>
      </c>
    </row>
    <row r="66" spans="1:1">
      <c r="A66" t="s">
        <v>505</v>
      </c>
    </row>
    <row r="70" spans="1:1" ht="15.6">
      <c r="A70" s="23" t="s">
        <v>488</v>
      </c>
    </row>
    <row r="72" spans="1:1">
      <c r="A72" t="s">
        <v>489</v>
      </c>
    </row>
    <row r="74" spans="1:1">
      <c r="A74" s="6" t="e">
        <f>WEEKDAY(A1,1)</f>
        <v>#VALUE!</v>
      </c>
    </row>
    <row r="76" spans="1:1">
      <c r="A76" t="s">
        <v>506</v>
      </c>
    </row>
    <row r="80" spans="1:1" ht="18">
      <c r="A80" s="5" t="s">
        <v>490</v>
      </c>
    </row>
    <row r="81" spans="1:1">
      <c r="A81" s="7"/>
    </row>
    <row r="82" spans="1:1">
      <c r="A82" s="7" t="s">
        <v>491</v>
      </c>
    </row>
    <row r="83" spans="1:1">
      <c r="A83" s="7"/>
    </row>
    <row r="84" spans="1:1">
      <c r="A84" s="7" t="s">
        <v>492</v>
      </c>
    </row>
    <row r="85" spans="1:1">
      <c r="A85" s="7"/>
    </row>
    <row r="86" spans="1:1">
      <c r="A86" s="7" t="s">
        <v>493</v>
      </c>
    </row>
    <row r="87" spans="1:1">
      <c r="A87" s="7"/>
    </row>
    <row r="88" spans="1:1">
      <c r="A88" s="7" t="s">
        <v>494</v>
      </c>
    </row>
    <row r="92" spans="1:1" ht="18">
      <c r="A92" s="5" t="s">
        <v>495</v>
      </c>
    </row>
    <row r="94" spans="1:1">
      <c r="A94" t="s">
        <v>496</v>
      </c>
    </row>
    <row r="95" spans="1:1">
      <c r="A95" t="s">
        <v>497</v>
      </c>
    </row>
    <row r="96" spans="1:1">
      <c r="A96" t="s">
        <v>498</v>
      </c>
    </row>
    <row r="100" spans="1:1" ht="18">
      <c r="A100" s="5" t="s">
        <v>333</v>
      </c>
    </row>
    <row r="102" spans="1:1">
      <c r="A102" t="s">
        <v>499</v>
      </c>
    </row>
    <row r="103" spans="1:1">
      <c r="A103" t="s">
        <v>500</v>
      </c>
    </row>
    <row r="104" spans="1:1">
      <c r="A104" t="s">
        <v>501</v>
      </c>
    </row>
    <row r="108" spans="1:1">
      <c r="A108" t="s">
        <v>507</v>
      </c>
    </row>
    <row r="110" spans="1:1">
      <c r="A110" s="6" t="str">
        <f>TEXT(A1,"dddd")</f>
        <v>Weekday Function In Excel</v>
      </c>
    </row>
    <row r="112" spans="1:1">
      <c r="A112" t="s">
        <v>502</v>
      </c>
    </row>
  </sheetData>
  <mergeCells count="1">
    <mergeCell ref="A1: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9AD3-A8D0-4F7B-B495-2B118AD62D6A}">
  <dimension ref="A1:E135"/>
  <sheetViews>
    <sheetView workbookViewId="0">
      <selection activeCell="G145" sqref="G145"/>
    </sheetView>
  </sheetViews>
  <sheetFormatPr defaultRowHeight="14.4"/>
  <cols>
    <col min="1" max="1" width="10" customWidth="1"/>
    <col min="2" max="2" width="16.5546875" customWidth="1"/>
    <col min="3" max="3" width="14" customWidth="1"/>
  </cols>
  <sheetData>
    <row r="1" spans="1:5">
      <c r="A1" s="41" t="s">
        <v>508</v>
      </c>
      <c r="B1" s="41"/>
      <c r="C1" s="41"/>
      <c r="D1" s="41"/>
      <c r="E1" s="41"/>
    </row>
    <row r="2" spans="1:5">
      <c r="A2" s="41"/>
      <c r="B2" s="41"/>
      <c r="C2" s="41"/>
      <c r="D2" s="41"/>
      <c r="E2" s="41"/>
    </row>
    <row r="3" spans="1:5">
      <c r="A3" s="35" t="s">
        <v>339</v>
      </c>
      <c r="B3" s="35" t="s">
        <v>279</v>
      </c>
      <c r="C3" s="35" t="s">
        <v>511</v>
      </c>
    </row>
    <row r="4" spans="1:5">
      <c r="A4" s="28" t="s">
        <v>282</v>
      </c>
      <c r="B4" s="27">
        <v>45688</v>
      </c>
      <c r="C4" s="28">
        <f>WEEKNUM(B4)</f>
        <v>5</v>
      </c>
    </row>
    <row r="5" spans="1:5">
      <c r="A5" s="28" t="s">
        <v>283</v>
      </c>
      <c r="B5" s="27">
        <v>45716</v>
      </c>
      <c r="C5" s="28"/>
    </row>
    <row r="6" spans="1:5">
      <c r="A6" s="28" t="s">
        <v>284</v>
      </c>
      <c r="B6" s="27">
        <v>45747</v>
      </c>
      <c r="C6" s="28"/>
    </row>
    <row r="7" spans="1:5">
      <c r="A7" s="28" t="s">
        <v>285</v>
      </c>
      <c r="B7" s="27">
        <v>45777</v>
      </c>
      <c r="C7" s="28"/>
    </row>
    <row r="8" spans="1:5">
      <c r="A8" s="28" t="s">
        <v>286</v>
      </c>
      <c r="B8" s="27">
        <v>45808</v>
      </c>
      <c r="C8" s="28"/>
    </row>
    <row r="9" spans="1:5">
      <c r="A9" s="28" t="s">
        <v>287</v>
      </c>
      <c r="B9" s="27">
        <v>45838</v>
      </c>
      <c r="C9" s="28"/>
    </row>
    <row r="10" spans="1:5">
      <c r="A10" s="28" t="s">
        <v>288</v>
      </c>
      <c r="B10" s="27">
        <v>45869</v>
      </c>
      <c r="C10" s="28"/>
    </row>
    <row r="11" spans="1:5">
      <c r="A11" s="28" t="s">
        <v>289</v>
      </c>
      <c r="B11" s="27">
        <v>45900</v>
      </c>
      <c r="C11" s="28"/>
    </row>
    <row r="12" spans="1:5">
      <c r="A12" s="28" t="s">
        <v>509</v>
      </c>
      <c r="B12" s="27">
        <v>45930</v>
      </c>
      <c r="C12" s="28"/>
    </row>
    <row r="13" spans="1:5">
      <c r="A13" s="28" t="s">
        <v>510</v>
      </c>
      <c r="B13" s="27">
        <v>45961</v>
      </c>
      <c r="C13" s="28"/>
    </row>
    <row r="14" spans="1:5">
      <c r="A14" s="28" t="s">
        <v>292</v>
      </c>
      <c r="B14" s="27">
        <v>45991</v>
      </c>
      <c r="C14" s="28"/>
    </row>
    <row r="15" spans="1:5">
      <c r="A15" s="28" t="s">
        <v>293</v>
      </c>
      <c r="B15" s="28" t="s">
        <v>512</v>
      </c>
      <c r="C15" s="28"/>
    </row>
    <row r="22" spans="1:1" ht="31.2">
      <c r="A22" s="4" t="s">
        <v>548</v>
      </c>
    </row>
    <row r="24" spans="1:1" ht="18">
      <c r="A24" s="5" t="s">
        <v>325</v>
      </c>
    </row>
    <row r="26" spans="1:1">
      <c r="A26" t="s">
        <v>515</v>
      </c>
    </row>
    <row r="27" spans="1:1">
      <c r="A27" t="s">
        <v>516</v>
      </c>
    </row>
    <row r="31" spans="1:1" ht="23.4">
      <c r="A31" s="36" t="s">
        <v>222</v>
      </c>
    </row>
    <row r="33" spans="1:3">
      <c r="A33" s="6" t="s">
        <v>517</v>
      </c>
    </row>
    <row r="34" spans="1:3">
      <c r="A34" s="7"/>
    </row>
    <row r="35" spans="1:3">
      <c r="A35" s="8" t="s">
        <v>518</v>
      </c>
    </row>
    <row r="36" spans="1:3">
      <c r="A36" s="7"/>
    </row>
    <row r="37" spans="1:3">
      <c r="A37" s="8" t="s">
        <v>519</v>
      </c>
    </row>
    <row r="41" spans="1:3" ht="23.4">
      <c r="A41" s="36" t="s">
        <v>549</v>
      </c>
    </row>
    <row r="42" spans="1:3">
      <c r="A42" s="7"/>
    </row>
    <row r="43" spans="1:3">
      <c r="A43" s="7" t="s">
        <v>520</v>
      </c>
    </row>
    <row r="45" spans="1:3" ht="28.8">
      <c r="A45" s="9" t="s">
        <v>476</v>
      </c>
      <c r="B45" s="9" t="s">
        <v>521</v>
      </c>
      <c r="C45" s="9" t="s">
        <v>522</v>
      </c>
    </row>
    <row r="46" spans="1:3" ht="43.2">
      <c r="A46" s="10">
        <v>1</v>
      </c>
      <c r="B46" s="10" t="s">
        <v>464</v>
      </c>
      <c r="C46" s="10" t="s">
        <v>523</v>
      </c>
    </row>
    <row r="47" spans="1:3" ht="43.2">
      <c r="A47" s="10">
        <v>2</v>
      </c>
      <c r="B47" s="10" t="s">
        <v>345</v>
      </c>
      <c r="C47" s="10" t="s">
        <v>524</v>
      </c>
    </row>
    <row r="48" spans="1:3" ht="57.6">
      <c r="A48" s="10">
        <v>11</v>
      </c>
      <c r="B48" s="10" t="s">
        <v>345</v>
      </c>
      <c r="C48" s="10" t="s">
        <v>525</v>
      </c>
    </row>
    <row r="49" spans="1:3">
      <c r="A49" s="10">
        <v>12</v>
      </c>
      <c r="B49" s="10" t="s">
        <v>346</v>
      </c>
      <c r="C49" s="10" t="s">
        <v>526</v>
      </c>
    </row>
    <row r="50" spans="1:3">
      <c r="A50" s="10">
        <v>13</v>
      </c>
      <c r="B50" s="10" t="s">
        <v>465</v>
      </c>
      <c r="C50" s="10" t="s">
        <v>526</v>
      </c>
    </row>
    <row r="51" spans="1:3">
      <c r="A51" s="10">
        <v>14</v>
      </c>
      <c r="B51" s="10" t="s">
        <v>466</v>
      </c>
      <c r="C51" s="10" t="s">
        <v>526</v>
      </c>
    </row>
    <row r="52" spans="1:3">
      <c r="A52" s="10">
        <v>15</v>
      </c>
      <c r="B52" s="10" t="s">
        <v>384</v>
      </c>
      <c r="C52" s="10" t="s">
        <v>526</v>
      </c>
    </row>
    <row r="53" spans="1:3">
      <c r="A53" s="10">
        <v>16</v>
      </c>
      <c r="B53" s="10" t="s">
        <v>385</v>
      </c>
      <c r="C53" s="10" t="s">
        <v>526</v>
      </c>
    </row>
    <row r="54" spans="1:3">
      <c r="A54" s="10">
        <v>17</v>
      </c>
      <c r="B54" s="10" t="s">
        <v>464</v>
      </c>
      <c r="C54" s="10" t="s">
        <v>526</v>
      </c>
    </row>
    <row r="57" spans="1:3" ht="23.4">
      <c r="A57" s="36" t="s">
        <v>265</v>
      </c>
    </row>
    <row r="59" spans="1:3" ht="18">
      <c r="A59" s="5" t="s">
        <v>527</v>
      </c>
    </row>
    <row r="61" spans="1:3">
      <c r="A61" s="6">
        <f>WEEKNUM("15-Jan-2025")</f>
        <v>3</v>
      </c>
    </row>
    <row r="63" spans="1:3">
      <c r="A63" t="s">
        <v>550</v>
      </c>
    </row>
    <row r="64" spans="1:3">
      <c r="A64" t="s">
        <v>528</v>
      </c>
    </row>
    <row r="68" spans="1:1" ht="18">
      <c r="A68" s="5" t="s">
        <v>529</v>
      </c>
    </row>
    <row r="70" spans="1:1">
      <c r="A70" s="6">
        <f>WEEKNUM("15-Jan-2025", 2)</f>
        <v>3</v>
      </c>
    </row>
    <row r="72" spans="1:1">
      <c r="A72" t="s">
        <v>550</v>
      </c>
    </row>
    <row r="73" spans="1:1">
      <c r="A73" t="s">
        <v>530</v>
      </c>
    </row>
    <row r="77" spans="1:1" ht="18">
      <c r="A77" s="5" t="s">
        <v>531</v>
      </c>
    </row>
    <row r="79" spans="1:1">
      <c r="A79" s="6">
        <f>WEEKNUM("01-Jan-2025", 11)</f>
        <v>1</v>
      </c>
    </row>
    <row r="81" spans="1:1">
      <c r="A81" t="s">
        <v>551</v>
      </c>
    </row>
    <row r="82" spans="1:1">
      <c r="A82" t="s">
        <v>532</v>
      </c>
    </row>
    <row r="86" spans="1:1" ht="18">
      <c r="A86" s="5" t="s">
        <v>533</v>
      </c>
    </row>
    <row r="88" spans="1:1">
      <c r="A88" t="s">
        <v>534</v>
      </c>
    </row>
    <row r="90" spans="1:1">
      <c r="A90" s="6" t="e">
        <f>WEEKNUM(A1, 1)</f>
        <v>#VALUE!</v>
      </c>
    </row>
    <row r="92" spans="1:1">
      <c r="A92" t="s">
        <v>552</v>
      </c>
    </row>
    <row r="96" spans="1:1" ht="18">
      <c r="A96" s="5" t="s">
        <v>535</v>
      </c>
    </row>
    <row r="98" spans="1:1">
      <c r="A98" s="6">
        <f>WEEKNUM("03-Jan-2025", 15)</f>
        <v>2</v>
      </c>
    </row>
    <row r="100" spans="1:1">
      <c r="A100" t="s">
        <v>553</v>
      </c>
    </row>
    <row r="101" spans="1:1">
      <c r="A101" t="s">
        <v>536</v>
      </c>
    </row>
    <row r="105" spans="1:1" ht="23.4">
      <c r="A105" s="36" t="s">
        <v>332</v>
      </c>
    </row>
    <row r="106" spans="1:1">
      <c r="A106" s="7"/>
    </row>
    <row r="107" spans="1:1">
      <c r="A107" s="7" t="s">
        <v>537</v>
      </c>
    </row>
    <row r="108" spans="1:1">
      <c r="A108" s="7"/>
    </row>
    <row r="109" spans="1:1">
      <c r="A109" s="7" t="s">
        <v>538</v>
      </c>
    </row>
    <row r="110" spans="1:1">
      <c r="A110" s="7"/>
    </row>
    <row r="111" spans="1:1">
      <c r="A111" s="7" t="s">
        <v>539</v>
      </c>
    </row>
    <row r="112" spans="1:1">
      <c r="A112" s="7"/>
    </row>
    <row r="113" spans="1:1">
      <c r="A113" s="7" t="s">
        <v>540</v>
      </c>
    </row>
    <row r="117" spans="1:1" ht="23.4">
      <c r="A117" s="36" t="s">
        <v>273</v>
      </c>
    </row>
    <row r="118" spans="1:1">
      <c r="A118" s="7"/>
    </row>
    <row r="119" spans="1:1">
      <c r="A119" s="7" t="s">
        <v>541</v>
      </c>
    </row>
    <row r="120" spans="1:1">
      <c r="A120" s="7"/>
    </row>
    <row r="121" spans="1:1">
      <c r="A121" s="7" t="s">
        <v>542</v>
      </c>
    </row>
    <row r="122" spans="1:1">
      <c r="A122" s="7"/>
    </row>
    <row r="123" spans="1:1">
      <c r="A123" s="7" t="s">
        <v>543</v>
      </c>
    </row>
    <row r="127" spans="1:1" ht="23.4">
      <c r="A127" s="36" t="s">
        <v>442</v>
      </c>
    </row>
    <row r="128" spans="1:1">
      <c r="A128" s="7"/>
    </row>
    <row r="129" spans="1:1">
      <c r="A129" s="7" t="s">
        <v>544</v>
      </c>
    </row>
    <row r="130" spans="1:1">
      <c r="A130" s="7"/>
    </row>
    <row r="131" spans="1:1">
      <c r="A131" s="7" t="s">
        <v>545</v>
      </c>
    </row>
    <row r="132" spans="1:1">
      <c r="A132" s="7"/>
    </row>
    <row r="133" spans="1:1">
      <c r="A133" s="7" t="s">
        <v>546</v>
      </c>
    </row>
    <row r="134" spans="1:1">
      <c r="A134" s="7"/>
    </row>
    <row r="135" spans="1:1">
      <c r="A135" s="7" t="s">
        <v>547</v>
      </c>
    </row>
  </sheetData>
  <mergeCells count="1">
    <mergeCell ref="A1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8F70-48A2-41F5-88AB-FAB1133C2BA9}">
  <dimension ref="A1:E155"/>
  <sheetViews>
    <sheetView topLeftCell="A63" workbookViewId="0">
      <selection activeCell="A72" sqref="A72"/>
    </sheetView>
  </sheetViews>
  <sheetFormatPr defaultRowHeight="14.4"/>
  <cols>
    <col min="1" max="1" width="10.33203125" bestFit="1" customWidth="1"/>
    <col min="2" max="2" width="13.6640625" customWidth="1"/>
    <col min="3" max="3" width="11.44140625" customWidth="1"/>
    <col min="4" max="4" width="13.88671875" customWidth="1"/>
  </cols>
  <sheetData>
    <row r="1" spans="1:5">
      <c r="A1" s="65" t="s">
        <v>513</v>
      </c>
      <c r="B1" s="66"/>
      <c r="C1" s="66"/>
      <c r="D1" s="66"/>
      <c r="E1" s="67"/>
    </row>
    <row r="2" spans="1:5">
      <c r="A2" s="68"/>
      <c r="B2" s="69"/>
      <c r="C2" s="69"/>
      <c r="D2" s="69"/>
      <c r="E2" s="70"/>
    </row>
    <row r="3" spans="1:5">
      <c r="B3" s="37" t="s">
        <v>336</v>
      </c>
      <c r="C3" s="37" t="s">
        <v>72</v>
      </c>
      <c r="D3" s="37" t="s">
        <v>590</v>
      </c>
    </row>
    <row r="4" spans="1:5">
      <c r="B4" s="3">
        <v>45665</v>
      </c>
      <c r="C4" s="1">
        <v>34</v>
      </c>
      <c r="D4" s="3">
        <f>WORKDAY.INTL(B4,C4,,12)</f>
        <v>45713</v>
      </c>
    </row>
    <row r="5" spans="1:5">
      <c r="B5" s="3">
        <v>45706</v>
      </c>
      <c r="C5" s="1">
        <v>56</v>
      </c>
      <c r="D5" s="3">
        <f>WORKDAY.INTL(B5,1,)</f>
        <v>45707</v>
      </c>
    </row>
    <row r="6" spans="1:5">
      <c r="B6" s="3">
        <v>45700</v>
      </c>
      <c r="C6" s="1">
        <v>59</v>
      </c>
      <c r="D6" s="1"/>
    </row>
    <row r="7" spans="1:5">
      <c r="B7" s="3">
        <v>45740</v>
      </c>
      <c r="C7" s="1">
        <v>34</v>
      </c>
      <c r="D7" s="1"/>
    </row>
    <row r="8" spans="1:5">
      <c r="B8" s="3">
        <v>45772</v>
      </c>
      <c r="C8" s="1">
        <v>23</v>
      </c>
      <c r="D8" s="1"/>
    </row>
    <row r="9" spans="1:5">
      <c r="B9" s="3">
        <v>45804</v>
      </c>
      <c r="C9" s="1">
        <v>39</v>
      </c>
      <c r="D9" s="1"/>
    </row>
    <row r="10" spans="1:5">
      <c r="B10" s="3">
        <v>45744</v>
      </c>
      <c r="C10" s="1">
        <v>85</v>
      </c>
      <c r="D10" s="1"/>
    </row>
    <row r="19" spans="1:1" ht="31.2">
      <c r="A19" s="4" t="s">
        <v>634</v>
      </c>
    </row>
    <row r="21" spans="1:1" ht="18">
      <c r="A21" s="5" t="s">
        <v>263</v>
      </c>
    </row>
    <row r="23" spans="1:1">
      <c r="A23" t="s">
        <v>591</v>
      </c>
    </row>
    <row r="24" spans="1:1">
      <c r="A24" t="s">
        <v>592</v>
      </c>
    </row>
    <row r="28" spans="1:1" ht="23.4">
      <c r="A28" s="36" t="s">
        <v>264</v>
      </c>
    </row>
    <row r="30" spans="1:1">
      <c r="A30" s="6" t="s">
        <v>593</v>
      </c>
    </row>
    <row r="32" spans="1:1" ht="18">
      <c r="A32" s="5" t="s">
        <v>594</v>
      </c>
    </row>
    <row r="33" spans="1:1">
      <c r="A33" s="7"/>
    </row>
    <row r="34" spans="1:1">
      <c r="A34" s="8" t="s">
        <v>595</v>
      </c>
    </row>
    <row r="35" spans="1:1">
      <c r="A35" s="7"/>
    </row>
    <row r="36" spans="1:1">
      <c r="A36" s="8" t="s">
        <v>596</v>
      </c>
    </row>
    <row r="37" spans="1:1">
      <c r="A37" s="7"/>
    </row>
    <row r="38" spans="1:1">
      <c r="A38" s="8" t="s">
        <v>597</v>
      </c>
    </row>
    <row r="39" spans="1:1">
      <c r="A39" s="7"/>
    </row>
    <row r="40" spans="1:1">
      <c r="A40" s="7"/>
    </row>
    <row r="41" spans="1:1">
      <c r="A41" s="17"/>
    </row>
    <row r="42" spans="1:1">
      <c r="A42" s="17" t="s">
        <v>598</v>
      </c>
    </row>
    <row r="43" spans="1:1">
      <c r="A43" s="17"/>
    </row>
    <row r="44" spans="1:1">
      <c r="A44" s="17" t="s">
        <v>599</v>
      </c>
    </row>
    <row r="45" spans="1:1">
      <c r="A45" s="7"/>
    </row>
    <row r="46" spans="1:1">
      <c r="A46" s="8" t="s">
        <v>600</v>
      </c>
    </row>
    <row r="50" spans="1:2" ht="23.4">
      <c r="A50" s="36" t="s">
        <v>449</v>
      </c>
    </row>
    <row r="52" spans="1:2">
      <c r="A52" s="9" t="s">
        <v>601</v>
      </c>
      <c r="B52" s="9" t="s">
        <v>602</v>
      </c>
    </row>
    <row r="53" spans="1:2" ht="43.2">
      <c r="A53" s="10">
        <v>1</v>
      </c>
      <c r="B53" s="10" t="s">
        <v>603</v>
      </c>
    </row>
    <row r="54" spans="1:2" ht="28.8">
      <c r="A54" s="10">
        <v>2</v>
      </c>
      <c r="B54" s="10" t="s">
        <v>604</v>
      </c>
    </row>
    <row r="55" spans="1:2" ht="28.8">
      <c r="A55" s="10">
        <v>3</v>
      </c>
      <c r="B55" s="10" t="s">
        <v>605</v>
      </c>
    </row>
    <row r="56" spans="1:2" ht="28.8">
      <c r="A56" s="10">
        <v>4</v>
      </c>
      <c r="B56" s="10" t="s">
        <v>606</v>
      </c>
    </row>
    <row r="57" spans="1:2" ht="28.8">
      <c r="A57" s="10">
        <v>5</v>
      </c>
      <c r="B57" s="10" t="s">
        <v>607</v>
      </c>
    </row>
    <row r="58" spans="1:2" ht="28.8">
      <c r="A58" s="10">
        <v>6</v>
      </c>
      <c r="B58" s="10" t="s">
        <v>608</v>
      </c>
    </row>
    <row r="59" spans="1:2" ht="28.8">
      <c r="A59" s="10">
        <v>7</v>
      </c>
      <c r="B59" s="10" t="s">
        <v>609</v>
      </c>
    </row>
    <row r="60" spans="1:2">
      <c r="A60" s="10">
        <v>11</v>
      </c>
      <c r="B60" s="10" t="s">
        <v>610</v>
      </c>
    </row>
    <row r="61" spans="1:2">
      <c r="A61" s="10">
        <v>12</v>
      </c>
      <c r="B61" s="10" t="s">
        <v>611</v>
      </c>
    </row>
    <row r="62" spans="1:2" ht="28.8">
      <c r="A62" s="10" t="s">
        <v>612</v>
      </c>
      <c r="B62" s="10" t="s">
        <v>613</v>
      </c>
    </row>
    <row r="64" spans="1:2">
      <c r="A64" t="s">
        <v>614</v>
      </c>
    </row>
    <row r="68" spans="1:1" ht="23.4">
      <c r="A68" s="36" t="s">
        <v>484</v>
      </c>
    </row>
    <row r="70" spans="1:1" ht="18">
      <c r="A70" s="5" t="s">
        <v>485</v>
      </c>
    </row>
    <row r="72" spans="1:1">
      <c r="A72" s="13">
        <f>WORKDAY.INTL("01-Jan-2025", 10, 1)</f>
        <v>45672</v>
      </c>
    </row>
    <row r="74" spans="1:1">
      <c r="A74" t="s">
        <v>635</v>
      </c>
    </row>
    <row r="75" spans="1:1">
      <c r="A75" t="s">
        <v>615</v>
      </c>
    </row>
    <row r="79" spans="1:1" ht="18">
      <c r="A79" s="5" t="s">
        <v>616</v>
      </c>
    </row>
    <row r="81" spans="1:1">
      <c r="A81" s="13">
        <f>WORKDAY.INTL("01-Jan-2025", 7, 7)</f>
        <v>45669</v>
      </c>
    </row>
    <row r="83" spans="1:1">
      <c r="A83" t="s">
        <v>636</v>
      </c>
    </row>
    <row r="87" spans="1:1" ht="18">
      <c r="A87" s="5" t="s">
        <v>617</v>
      </c>
    </row>
    <row r="89" spans="1:1">
      <c r="A89" t="s">
        <v>618</v>
      </c>
    </row>
    <row r="91" spans="1:1">
      <c r="A91" s="13">
        <f>WORKDAY.INTL("01-Jan-2025", 10, 1, F2:F3)</f>
        <v>45672</v>
      </c>
    </row>
    <row r="93" spans="1:1">
      <c r="A93" t="s">
        <v>637</v>
      </c>
    </row>
    <row r="97" spans="1:1" ht="18">
      <c r="A97" s="5" t="s">
        <v>619</v>
      </c>
    </row>
    <row r="99" spans="1:1">
      <c r="A99" s="13">
        <f>WORKDAY.INTL("15-Jan-2025", -5, 1)</f>
        <v>45665</v>
      </c>
    </row>
    <row r="101" spans="1:1">
      <c r="A101" t="s">
        <v>638</v>
      </c>
    </row>
    <row r="105" spans="1:1" ht="18">
      <c r="A105" s="5" t="s">
        <v>620</v>
      </c>
    </row>
    <row r="107" spans="1:1">
      <c r="A107" s="13">
        <f>WORKDAY.INTL("01-Jan-2025", 10, "0000011")</f>
        <v>45672</v>
      </c>
    </row>
    <row r="109" spans="1:1">
      <c r="A109" t="s">
        <v>639</v>
      </c>
    </row>
    <row r="111" spans="1:1">
      <c r="A111" s="13">
        <f>WORKDAY.INTL("01-Jan-2025", 10, "1111100")</f>
        <v>45690</v>
      </c>
    </row>
    <row r="113" spans="1:1">
      <c r="A113" t="s">
        <v>640</v>
      </c>
    </row>
    <row r="117" spans="1:1" ht="23.4">
      <c r="A117" s="36" t="s">
        <v>332</v>
      </c>
    </row>
    <row r="118" spans="1:1">
      <c r="A118" s="7"/>
    </row>
    <row r="119" spans="1:1">
      <c r="A119" s="8" t="s">
        <v>621</v>
      </c>
    </row>
    <row r="120" spans="1:1">
      <c r="A120" s="7"/>
    </row>
    <row r="121" spans="1:1">
      <c r="A121" s="8" t="s">
        <v>622</v>
      </c>
    </row>
    <row r="122" spans="1:1">
      <c r="A122" s="7"/>
    </row>
    <row r="123" spans="1:1">
      <c r="A123" s="8" t="s">
        <v>623</v>
      </c>
    </row>
    <row r="124" spans="1:1">
      <c r="A124" s="7"/>
    </row>
    <row r="125" spans="1:1">
      <c r="A125" s="8" t="s">
        <v>624</v>
      </c>
    </row>
    <row r="126" spans="1:1">
      <c r="A126" s="7"/>
    </row>
    <row r="127" spans="1:1">
      <c r="A127" s="8" t="s">
        <v>625</v>
      </c>
    </row>
    <row r="131" spans="1:1" ht="23.4">
      <c r="A131" s="36" t="s">
        <v>273</v>
      </c>
    </row>
    <row r="132" spans="1:1">
      <c r="A132" s="7"/>
    </row>
    <row r="133" spans="1:1">
      <c r="A133" s="7" t="s">
        <v>626</v>
      </c>
    </row>
    <row r="134" spans="1:1">
      <c r="A134" s="7"/>
    </row>
    <row r="135" spans="1:1">
      <c r="A135" s="7" t="s">
        <v>627</v>
      </c>
    </row>
    <row r="136" spans="1:1">
      <c r="A136" s="7"/>
    </row>
    <row r="137" spans="1:1">
      <c r="A137" s="7" t="s">
        <v>628</v>
      </c>
    </row>
    <row r="138" spans="1:1">
      <c r="A138" s="7"/>
    </row>
    <row r="139" spans="1:1">
      <c r="A139" s="7" t="s">
        <v>629</v>
      </c>
    </row>
    <row r="143" spans="1:1" ht="23.4">
      <c r="A143" s="36" t="s">
        <v>333</v>
      </c>
    </row>
    <row r="144" spans="1:1">
      <c r="A144" s="7"/>
    </row>
    <row r="145" spans="1:1">
      <c r="A145" s="7" t="s">
        <v>630</v>
      </c>
    </row>
    <row r="146" spans="1:1">
      <c r="A146" s="7"/>
    </row>
    <row r="147" spans="1:1">
      <c r="A147" s="7" t="s">
        <v>631</v>
      </c>
    </row>
    <row r="148" spans="1:1">
      <c r="A148" s="7"/>
    </row>
    <row r="149" spans="1:1">
      <c r="A149" s="7" t="s">
        <v>632</v>
      </c>
    </row>
    <row r="150" spans="1:1">
      <c r="A150" s="7"/>
    </row>
    <row r="151" spans="1:1">
      <c r="A151" s="7" t="s">
        <v>633</v>
      </c>
    </row>
    <row r="155" spans="1:1">
      <c r="A155" t="s">
        <v>641</v>
      </c>
    </row>
  </sheetData>
  <mergeCells count="1">
    <mergeCell ref="A1:E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C3FD-6CD0-43CE-BFD4-F0E14904C9FB}">
  <dimension ref="A1:G15"/>
  <sheetViews>
    <sheetView tabSelected="1" workbookViewId="0">
      <selection activeCell="F10" sqref="F10"/>
    </sheetView>
  </sheetViews>
  <sheetFormatPr defaultRowHeight="14.4"/>
  <cols>
    <col min="1" max="2" width="14.5546875" customWidth="1"/>
    <col min="3" max="3" width="18.109375" customWidth="1"/>
    <col min="4" max="4" width="20" customWidth="1"/>
    <col min="5" max="5" width="8.88671875" customWidth="1"/>
    <col min="7" max="7" width="10" customWidth="1"/>
  </cols>
  <sheetData>
    <row r="1" spans="1:7">
      <c r="A1" s="56" t="s">
        <v>643</v>
      </c>
      <c r="B1" s="56"/>
      <c r="C1" s="56"/>
      <c r="D1" s="56"/>
      <c r="E1" s="56"/>
      <c r="F1" s="56"/>
      <c r="G1" s="56"/>
    </row>
    <row r="2" spans="1:7">
      <c r="A2" s="56"/>
      <c r="B2" s="56"/>
      <c r="C2" s="56"/>
      <c r="D2" s="56"/>
      <c r="E2" s="56"/>
      <c r="F2" s="56"/>
      <c r="G2" s="56"/>
    </row>
    <row r="3" spans="1:7">
      <c r="A3" t="s">
        <v>644</v>
      </c>
    </row>
    <row r="4" spans="1:7">
      <c r="A4" t="s">
        <v>645</v>
      </c>
      <c r="B4" t="s">
        <v>646</v>
      </c>
      <c r="C4" t="s">
        <v>647</v>
      </c>
      <c r="D4" t="s">
        <v>648</v>
      </c>
      <c r="E4" t="s">
        <v>642</v>
      </c>
    </row>
    <row r="5" spans="1:7">
      <c r="A5" t="s">
        <v>649</v>
      </c>
      <c r="B5" s="72">
        <v>0.375</v>
      </c>
      <c r="C5" s="72">
        <v>0.70833333333333337</v>
      </c>
      <c r="D5" s="71">
        <f>C5-B5</f>
        <v>0.33333333333333337</v>
      </c>
      <c r="E5" s="71">
        <f>D5-TIME(8,0,0)</f>
        <v>0</v>
      </c>
    </row>
    <row r="6" spans="1:7">
      <c r="A6" t="s">
        <v>650</v>
      </c>
      <c r="B6" s="72">
        <v>0.39583333333333331</v>
      </c>
      <c r="C6" s="72">
        <v>0.75</v>
      </c>
      <c r="D6" s="71">
        <f t="shared" ref="D6:D14" si="0">C6-B6</f>
        <v>0.35416666666666669</v>
      </c>
      <c r="E6" s="71">
        <f t="shared" ref="E6:E14" si="1">D6-TIME(8,0,0)</f>
        <v>2.083333333333337E-2</v>
      </c>
    </row>
    <row r="7" spans="1:7">
      <c r="A7" t="s">
        <v>651</v>
      </c>
      <c r="B7" s="72">
        <v>0.36458333333333331</v>
      </c>
      <c r="C7" s="72">
        <v>0.69791666666666663</v>
      </c>
      <c r="D7" s="71">
        <f t="shared" si="0"/>
        <v>0.33333333333333331</v>
      </c>
      <c r="E7" s="71">
        <f t="shared" si="1"/>
        <v>0</v>
      </c>
    </row>
    <row r="8" spans="1:7">
      <c r="A8" t="s">
        <v>652</v>
      </c>
      <c r="B8" s="72">
        <v>0.38541666666666669</v>
      </c>
      <c r="C8" s="72">
        <v>0.71875</v>
      </c>
      <c r="D8" s="71">
        <f t="shared" si="0"/>
        <v>0.33333333333333331</v>
      </c>
      <c r="E8" s="71">
        <f t="shared" si="1"/>
        <v>0</v>
      </c>
    </row>
    <row r="9" spans="1:7">
      <c r="A9" t="s">
        <v>653</v>
      </c>
      <c r="B9" s="72">
        <v>0.375</v>
      </c>
      <c r="C9" s="72">
        <v>0.72916666666666663</v>
      </c>
      <c r="D9" s="71">
        <f t="shared" si="0"/>
        <v>0.35416666666666663</v>
      </c>
      <c r="E9" s="71">
        <f t="shared" si="1"/>
        <v>2.0833333333333315E-2</v>
      </c>
      <c r="F9" s="71"/>
      <c r="G9" s="71"/>
    </row>
    <row r="10" spans="1:7">
      <c r="A10" t="s">
        <v>654</v>
      </c>
      <c r="B10" s="72">
        <v>0.35416666666666669</v>
      </c>
      <c r="C10" s="72">
        <v>0.6875</v>
      </c>
      <c r="D10" s="71">
        <f t="shared" si="0"/>
        <v>0.33333333333333331</v>
      </c>
      <c r="E10" s="71">
        <f t="shared" si="1"/>
        <v>0</v>
      </c>
    </row>
    <row r="11" spans="1:7">
      <c r="A11" t="s">
        <v>649</v>
      </c>
      <c r="B11" s="72">
        <v>0.38194444444444442</v>
      </c>
      <c r="C11" s="72">
        <v>0.72222222222222221</v>
      </c>
      <c r="D11" s="71">
        <f t="shared" si="0"/>
        <v>0.34027777777777779</v>
      </c>
      <c r="E11" s="71">
        <f t="shared" si="1"/>
        <v>6.9444444444444753E-3</v>
      </c>
    </row>
    <row r="12" spans="1:7">
      <c r="A12" t="s">
        <v>655</v>
      </c>
      <c r="B12" s="72">
        <v>0.37152777777777779</v>
      </c>
      <c r="C12" s="72">
        <v>0.71180555555555558</v>
      </c>
      <c r="D12" s="71">
        <f t="shared" si="0"/>
        <v>0.34027777777777779</v>
      </c>
      <c r="E12" s="71">
        <f t="shared" si="1"/>
        <v>6.9444444444444753E-3</v>
      </c>
    </row>
    <row r="13" spans="1:7">
      <c r="A13" t="s">
        <v>656</v>
      </c>
      <c r="B13" s="72">
        <v>0.3888888888888889</v>
      </c>
      <c r="C13" s="72">
        <v>0.72569444444444442</v>
      </c>
      <c r="D13" s="71">
        <f t="shared" si="0"/>
        <v>0.33680555555555552</v>
      </c>
      <c r="E13" s="71">
        <f t="shared" si="1"/>
        <v>3.4722222222222099E-3</v>
      </c>
    </row>
    <row r="14" spans="1:7">
      <c r="A14" t="s">
        <v>657</v>
      </c>
      <c r="B14" s="72">
        <v>0.375</v>
      </c>
      <c r="C14" s="72">
        <v>0.75</v>
      </c>
      <c r="D14" s="71">
        <f t="shared" si="0"/>
        <v>0.375</v>
      </c>
      <c r="E14" s="71">
        <f t="shared" si="1"/>
        <v>4.1666666666666685E-2</v>
      </c>
    </row>
    <row r="15" spans="1:7">
      <c r="D15" t="s">
        <v>658</v>
      </c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Date Value</vt:lpstr>
      <vt:lpstr>Days</vt:lpstr>
      <vt:lpstr>Days 360</vt:lpstr>
      <vt:lpstr>Edate</vt:lpstr>
      <vt:lpstr>EOMonth</vt:lpstr>
      <vt:lpstr>Isoweeknum</vt:lpstr>
      <vt:lpstr>WorkDay </vt:lpstr>
      <vt:lpstr>Networkdays</vt:lpstr>
      <vt:lpstr>Networkdays.INTL</vt:lpstr>
      <vt:lpstr>Time</vt:lpstr>
      <vt:lpstr>Timevalue</vt:lpstr>
      <vt:lpstr>Datevalue</vt:lpstr>
      <vt:lpstr>Weekday</vt:lpstr>
      <vt:lpstr>Weeknum</vt:lpstr>
      <vt:lpstr>Workday.INTL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Panbude</dc:creator>
  <cp:lastModifiedBy>Ashwin Panbude</cp:lastModifiedBy>
  <dcterms:created xsi:type="dcterms:W3CDTF">2025-08-20T07:23:34Z</dcterms:created>
  <dcterms:modified xsi:type="dcterms:W3CDTF">2025-08-26T10:25:52Z</dcterms:modified>
</cp:coreProperties>
</file>