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\Desktop\New Excel Formulas\"/>
    </mc:Choice>
  </mc:AlternateContent>
  <xr:revisionPtr revIDLastSave="0" documentId="13_ncr:1_{DC98D83E-3235-4E5D-93E2-920D8E22D70B}" xr6:coauthVersionLast="47" xr6:coauthVersionMax="47" xr10:uidLastSave="{00000000-0000-0000-0000-000000000000}"/>
  <bookViews>
    <workbookView xWindow="-108" yWindow="-108" windowWidth="23256" windowHeight="13896" firstSheet="11" activeTab="16" xr2:uid="{F522EC21-9884-40FF-BC6D-E32BB6FE352F}"/>
  </bookViews>
  <sheets>
    <sheet name="Xmatch" sheetId="15" r:id="rId1"/>
    <sheet name="Verticle Xmatch" sheetId="5" r:id="rId2"/>
    <sheet name="Horizontal Xmatch" sheetId="6" r:id="rId3"/>
    <sheet name="Match Type" sheetId="7" r:id="rId4"/>
    <sheet name="Partial Match" sheetId="8" r:id="rId5"/>
    <sheet name="Reverse Search Xmatch" sheetId="9" r:id="rId6"/>
    <sheet name="Compare Column For Xmatch" sheetId="10" r:id="rId7"/>
    <sheet name="Index Match" sheetId="11" r:id="rId8"/>
    <sheet name="Xlookup" sheetId="2" r:id="rId9"/>
    <sheet name="Xlookup EX.1" sheetId="4" r:id="rId10"/>
    <sheet name="XLookup Multiple Example" sheetId="12" r:id="rId11"/>
    <sheet name="Xlookup With Sum" sheetId="13" r:id="rId12"/>
    <sheet name="SUM Using Filter" sheetId="16" r:id="rId13"/>
    <sheet name="Danymic Sum" sheetId="17" r:id="rId14"/>
    <sheet name="ABS" sheetId="18" r:id="rId15"/>
    <sheet name="Subtotal" sheetId="19" r:id="rId16"/>
    <sheet name="PercentOf" sheetId="20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0" l="1"/>
  <c r="C4" i="20"/>
  <c r="C5" i="20"/>
  <c r="C6" i="20"/>
  <c r="C7" i="20"/>
  <c r="C2" i="20"/>
  <c r="B7" i="20"/>
  <c r="F8" i="8"/>
  <c r="F3" i="8"/>
  <c r="G6" i="7"/>
  <c r="F6" i="7"/>
  <c r="F5" i="7"/>
  <c r="B7" i="6"/>
  <c r="B6" i="6"/>
  <c r="A13" i="16" a="1"/>
  <c r="A13" i="16" s="1"/>
  <c r="F11" i="13"/>
  <c r="C67" i="12" a="1"/>
  <c r="C67" i="12" s="1"/>
  <c r="D67" i="12" a="1"/>
  <c r="D67" i="12" s="1"/>
  <c r="B67" i="12" a="1"/>
  <c r="B67" i="12" s="1"/>
  <c r="F14" i="12" a="1"/>
  <c r="F14" i="12" s="1"/>
  <c r="B64" i="12"/>
  <c r="B65" i="12"/>
  <c r="G51" i="12"/>
  <c r="F42" i="12" a="1"/>
  <c r="F42" i="12" s="1"/>
  <c r="F23" i="12" a="1"/>
  <c r="F23" i="12" s="1"/>
  <c r="F32" i="12" a="1"/>
  <c r="F32" i="12" s="1"/>
  <c r="B11" i="4" a="1"/>
  <c r="B11" i="4" s="1"/>
  <c r="A73" i="2"/>
  <c r="A83" i="2"/>
  <c r="A91" i="2"/>
  <c r="A99" i="2"/>
  <c r="A107" i="2"/>
  <c r="A115" i="2" a="1"/>
  <c r="A115" i="2" s="1"/>
  <c r="A123" i="2"/>
  <c r="A131" i="2"/>
  <c r="A139" i="2"/>
  <c r="J22" i="9"/>
  <c r="J44" i="9" a="1"/>
  <c r="J44" i="9"/>
  <c r="J60" i="9" a="1"/>
  <c r="J60" i="9" s="1"/>
  <c r="J78" i="9" a="1"/>
  <c r="J78" i="9"/>
  <c r="J90" i="9" a="1"/>
  <c r="J90" i="9"/>
  <c r="J96" i="9"/>
  <c r="C2" i="10" a="1"/>
  <c r="C2" i="10" s="1"/>
  <c r="F2" i="9"/>
  <c r="F7" i="7"/>
  <c r="F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<sst xmlns="http://schemas.openxmlformats.org/spreadsheetml/2006/main" count="466" uniqueCount="250">
  <si>
    <t>Search Mode:-Direction or method of search (see below).</t>
  </si>
  <si>
    <t>Match Mode:-	Type of match to perform (see below).</t>
  </si>
  <si>
    <t>Use Wild Card Like ?,*</t>
  </si>
  <si>
    <r>
      <t>Match Mode Options (</t>
    </r>
    <r>
      <rPr>
        <b/>
        <sz val="10"/>
        <color theme="1"/>
        <rFont val="Arial Unicode MS"/>
      </rPr>
      <t>[match_mode]</t>
    </r>
    <r>
      <rPr>
        <b/>
        <sz val="13.5"/>
        <color theme="1"/>
        <rFont val="Aptos Narrow"/>
        <family val="2"/>
        <scheme val="minor"/>
      </rPr>
      <t>)</t>
    </r>
  </si>
  <si>
    <t>Value</t>
  </si>
  <si>
    <t>Description</t>
  </si>
  <si>
    <r>
      <t>Exact match</t>
    </r>
    <r>
      <rPr>
        <sz val="11"/>
        <color theme="1"/>
        <rFont val="Aptos Narrow"/>
        <family val="2"/>
        <scheme val="minor"/>
      </rPr>
      <t xml:space="preserve"> (default)</t>
    </r>
  </si>
  <si>
    <r>
      <t xml:space="preserve">Exact match or </t>
    </r>
    <r>
      <rPr>
        <b/>
        <sz val="11"/>
        <color theme="1"/>
        <rFont val="Aptos Narrow"/>
        <family val="2"/>
        <scheme val="minor"/>
      </rPr>
      <t>next smaller item</t>
    </r>
  </si>
  <si>
    <r>
      <t xml:space="preserve">Exact match or </t>
    </r>
    <r>
      <rPr>
        <b/>
        <sz val="11"/>
        <color theme="1"/>
        <rFont val="Aptos Narrow"/>
        <family val="2"/>
        <scheme val="minor"/>
      </rPr>
      <t>next larger item</t>
    </r>
  </si>
  <si>
    <r>
      <t>Wildcard match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?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*</t>
    </r>
    <r>
      <rPr>
        <sz val="11"/>
        <color theme="1"/>
        <rFont val="Aptos Narrow"/>
        <family val="2"/>
        <scheme val="minor"/>
      </rPr>
      <t xml:space="preserve"> allowed)</t>
    </r>
  </si>
  <si>
    <r>
      <t>Search Mode Options (</t>
    </r>
    <r>
      <rPr>
        <b/>
        <sz val="10"/>
        <color theme="1"/>
        <rFont val="Arial Unicode MS"/>
      </rPr>
      <t>[search_mode]</t>
    </r>
    <r>
      <rPr>
        <b/>
        <sz val="13.5"/>
        <color theme="1"/>
        <rFont val="Aptos Narrow"/>
        <family val="2"/>
        <scheme val="minor"/>
      </rPr>
      <t>)</t>
    </r>
  </si>
  <si>
    <r>
      <t>Search first-to-last</t>
    </r>
    <r>
      <rPr>
        <sz val="11"/>
        <color theme="1"/>
        <rFont val="Aptos Narrow"/>
        <family val="2"/>
        <scheme val="minor"/>
      </rPr>
      <t xml:space="preserve"> (default)</t>
    </r>
  </si>
  <si>
    <t>Search last-to-first</t>
  </si>
  <si>
    <r>
      <t>Binary search</t>
    </r>
    <r>
      <rPr>
        <sz val="11"/>
        <color theme="1"/>
        <rFont val="Aptos Narrow"/>
        <family val="2"/>
        <scheme val="minor"/>
      </rPr>
      <t xml:space="preserve"> (ascending order)</t>
    </r>
  </si>
  <si>
    <r>
      <t>Binary search</t>
    </r>
    <r>
      <rPr>
        <sz val="11"/>
        <color theme="1"/>
        <rFont val="Aptos Narrow"/>
        <family val="2"/>
        <scheme val="minor"/>
      </rPr>
      <t xml:space="preserve"> (descending order)</t>
    </r>
  </si>
  <si>
    <t>Top Features of XMATCH</t>
  </si>
  <si>
    <r>
      <t xml:space="preserve">1. ✅ </t>
    </r>
    <r>
      <rPr>
        <b/>
        <sz val="11"/>
        <color theme="1"/>
        <rFont val="Aptos Narrow"/>
        <family val="2"/>
        <scheme val="minor"/>
      </rPr>
      <t>Exact and approximate match</t>
    </r>
    <r>
      <rPr>
        <sz val="11"/>
        <color theme="1"/>
        <rFont val="Aptos Narrow"/>
        <family val="2"/>
        <scheme val="minor"/>
      </rPr>
      <t xml:space="preserve"> support.</t>
    </r>
  </si>
  <si>
    <r>
      <t xml:space="preserve">2. ✅ </t>
    </r>
    <r>
      <rPr>
        <b/>
        <sz val="11"/>
        <color theme="1"/>
        <rFont val="Aptos Narrow"/>
        <family val="2"/>
        <scheme val="minor"/>
      </rPr>
      <t>Wildcard matching</t>
    </r>
    <r>
      <rPr>
        <sz val="11"/>
        <color theme="1"/>
        <rFont val="Aptos Narrow"/>
        <family val="2"/>
        <scheme val="minor"/>
      </rPr>
      <t xml:space="preserve"> (like searching with </t>
    </r>
    <r>
      <rPr>
        <sz val="10"/>
        <color theme="1"/>
        <rFont val="Arial Unicode MS"/>
      </rPr>
      <t>*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?</t>
    </r>
    <r>
      <rPr>
        <sz val="11"/>
        <color theme="1"/>
        <rFont val="Aptos Narrow"/>
        <family val="2"/>
        <scheme val="minor"/>
      </rPr>
      <t>).</t>
    </r>
  </si>
  <si>
    <r>
      <t xml:space="preserve">3. 🔁 </t>
    </r>
    <r>
      <rPr>
        <b/>
        <sz val="11"/>
        <color theme="1"/>
        <rFont val="Aptos Narrow"/>
        <family val="2"/>
        <scheme val="minor"/>
      </rPr>
      <t>Reverse search</t>
    </r>
    <r>
      <rPr>
        <sz val="11"/>
        <color theme="1"/>
        <rFont val="Aptos Narrow"/>
        <family val="2"/>
        <scheme val="minor"/>
      </rPr>
      <t xml:space="preserve"> (from bottom to top).</t>
    </r>
  </si>
  <si>
    <r>
      <t xml:space="preserve">4. ⚡ </t>
    </r>
    <r>
      <rPr>
        <b/>
        <sz val="11"/>
        <color theme="1"/>
        <rFont val="Aptos Narrow"/>
        <family val="2"/>
        <scheme val="minor"/>
      </rPr>
      <t>Faster binary search</t>
    </r>
    <r>
      <rPr>
        <sz val="11"/>
        <color theme="1"/>
        <rFont val="Aptos Narrow"/>
        <family val="2"/>
        <scheme val="minor"/>
      </rPr>
      <t xml:space="preserve"> (if data is sorted).</t>
    </r>
  </si>
  <si>
    <r>
      <t xml:space="preserve">5. 🔢 Returns </t>
    </r>
    <r>
      <rPr>
        <b/>
        <sz val="11"/>
        <color theme="1"/>
        <rFont val="Aptos Narrow"/>
        <family val="2"/>
        <scheme val="minor"/>
      </rPr>
      <t>relative position</t>
    </r>
    <r>
      <rPr>
        <sz val="11"/>
        <color theme="1"/>
        <rFont val="Aptos Narrow"/>
        <family val="2"/>
        <scheme val="minor"/>
      </rPr>
      <t xml:space="preserve"> like MATCH.</t>
    </r>
  </si>
  <si>
    <r>
      <t xml:space="preserve">6. 💥 Can be used with </t>
    </r>
    <r>
      <rPr>
        <b/>
        <sz val="11"/>
        <color theme="1"/>
        <rFont val="Aptos Narrow"/>
        <family val="2"/>
        <scheme val="minor"/>
      </rPr>
      <t>dynamic arrays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spill ranges</t>
    </r>
    <r>
      <rPr>
        <sz val="11"/>
        <color theme="1"/>
        <rFont val="Aptos Narrow"/>
        <family val="2"/>
        <scheme val="minor"/>
      </rPr>
      <t>.</t>
    </r>
  </si>
  <si>
    <r>
      <t xml:space="preserve">7. 📊 Useful in </t>
    </r>
    <r>
      <rPr>
        <b/>
        <sz val="11"/>
        <color theme="1"/>
        <rFont val="Aptos Narrow"/>
        <family val="2"/>
        <scheme val="minor"/>
      </rPr>
      <t>indexing, dynamic ranges, data validation, etc.</t>
    </r>
  </si>
  <si>
    <r>
      <t xml:space="preserve">8. 💡 Great for combining with </t>
    </r>
    <r>
      <rPr>
        <b/>
        <sz val="11"/>
        <color theme="1"/>
        <rFont val="Aptos Narrow"/>
        <family val="2"/>
        <scheme val="minor"/>
      </rPr>
      <t>INDEX + XMATCH</t>
    </r>
    <r>
      <rPr>
        <sz val="11"/>
        <color theme="1"/>
        <rFont val="Aptos Narrow"/>
        <family val="2"/>
        <scheme val="minor"/>
      </rPr>
      <t xml:space="preserve"> instead of </t>
    </r>
    <r>
      <rPr>
        <sz val="10"/>
        <color theme="1"/>
        <rFont val="Arial Unicode MS"/>
      </rPr>
      <t>VLOOKUP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HLOOKUP</t>
    </r>
    <r>
      <rPr>
        <sz val="11"/>
        <color theme="1"/>
        <rFont val="Aptos Narrow"/>
        <family val="2"/>
        <scheme val="minor"/>
      </rPr>
      <t>.</t>
    </r>
  </si>
  <si>
    <t>Comparison with MATCH</t>
  </si>
  <si>
    <t>Feature</t>
  </si>
  <si>
    <t>MATCH</t>
  </si>
  <si>
    <t>XMATCH</t>
  </si>
  <si>
    <t>Exact match</t>
  </si>
  <si>
    <t>✅</t>
  </si>
  <si>
    <t>Approximate match</t>
  </si>
  <si>
    <t>Wildcard support</t>
  </si>
  <si>
    <t>❌</t>
  </si>
  <si>
    <t>Search reverse</t>
  </si>
  <si>
    <t>Binary search</t>
  </si>
  <si>
    <t>Dynamic array</t>
  </si>
  <si>
    <t>Range flexibility</t>
  </si>
  <si>
    <t>📚 Use Cases</t>
  </si>
  <si>
    <r>
      <t xml:space="preserve">Replacing </t>
    </r>
    <r>
      <rPr>
        <sz val="10"/>
        <color theme="1"/>
        <rFont val="Arial Unicode MS"/>
      </rPr>
      <t>MATCH</t>
    </r>
    <r>
      <rPr>
        <sz val="11"/>
        <color theme="1"/>
        <rFont val="Aptos Narrow"/>
        <family val="2"/>
        <scheme val="minor"/>
      </rPr>
      <t xml:space="preserve"> with more power.</t>
    </r>
  </si>
  <si>
    <r>
      <t xml:space="preserve">Used inside </t>
    </r>
    <r>
      <rPr>
        <sz val="10"/>
        <color theme="1"/>
        <rFont val="Arial Unicode MS"/>
      </rPr>
      <t>INDEX()</t>
    </r>
    <r>
      <rPr>
        <sz val="11"/>
        <color theme="1"/>
        <rFont val="Aptos Narrow"/>
        <family val="2"/>
        <scheme val="minor"/>
      </rPr>
      <t xml:space="preserve"> for flexible lookups.</t>
    </r>
  </si>
  <si>
    <t>Advanced dashboards.</t>
  </si>
  <si>
    <t>Sorting logic.</t>
  </si>
  <si>
    <t>Data filtering and validation with conditions.</t>
  </si>
  <si>
    <t>Rank</t>
  </si>
  <si>
    <t>Product</t>
  </si>
  <si>
    <t>Price</t>
  </si>
  <si>
    <t>Samsung</t>
  </si>
  <si>
    <t>Nokia</t>
  </si>
  <si>
    <t>Moto</t>
  </si>
  <si>
    <t>Oppo</t>
  </si>
  <si>
    <t>Vivo</t>
  </si>
  <si>
    <t xml:space="preserve">Product </t>
  </si>
  <si>
    <t>Match Type</t>
  </si>
  <si>
    <t>Next Smallest</t>
  </si>
  <si>
    <t>Next Largest</t>
  </si>
  <si>
    <t>Region</t>
  </si>
  <si>
    <t>Western</t>
  </si>
  <si>
    <t>Eastern</t>
  </si>
  <si>
    <t>Westzone</t>
  </si>
  <si>
    <t>Southzone</t>
  </si>
  <si>
    <t>Eastzone</t>
  </si>
  <si>
    <t>South*</t>
  </si>
  <si>
    <t>Salesperson</t>
  </si>
  <si>
    <t>Target</t>
  </si>
  <si>
    <t>Ritika</t>
  </si>
  <si>
    <t>Kanishk</t>
  </si>
  <si>
    <t>Mayank</t>
  </si>
  <si>
    <t>Ram</t>
  </si>
  <si>
    <t>Sony</t>
  </si>
  <si>
    <t>Micromax</t>
  </si>
  <si>
    <t>Lava</t>
  </si>
  <si>
    <t>Lyf</t>
  </si>
  <si>
    <t>Intex</t>
  </si>
  <si>
    <t>Motorola</t>
  </si>
  <si>
    <t>Last No.</t>
  </si>
  <si>
    <t>Data1</t>
  </si>
  <si>
    <t>Data2</t>
  </si>
  <si>
    <t>Match</t>
  </si>
  <si>
    <t>Mitali</t>
  </si>
  <si>
    <t>Rudransh</t>
  </si>
  <si>
    <t>Raunak</t>
  </si>
  <si>
    <t>Deepshikha</t>
  </si>
  <si>
    <t>Niharika</t>
  </si>
  <si>
    <t>Anamika</t>
  </si>
  <si>
    <t>Naman</t>
  </si>
  <si>
    <t>Bhashkar</t>
  </si>
  <si>
    <t>Nimisha</t>
  </si>
  <si>
    <t>Jayant</t>
  </si>
  <si>
    <t>Nandita</t>
  </si>
  <si>
    <t>Mitika</t>
  </si>
  <si>
    <t>A (Fruits)</t>
  </si>
  <si>
    <t>Apple</t>
  </si>
  <si>
    <t>Banana</t>
  </si>
  <si>
    <t>Grape</t>
  </si>
  <si>
    <t>Orange</t>
  </si>
  <si>
    <t>Mango</t>
  </si>
  <si>
    <t>Kiwi</t>
  </si>
  <si>
    <r>
      <t xml:space="preserve">XMATCH in normal mode returns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(first Apple)</t>
    </r>
  </si>
  <si>
    <r>
      <t xml:space="preserve">Reverse XMATCH returns </t>
    </r>
    <r>
      <rPr>
        <b/>
        <sz val="11"/>
        <color theme="1"/>
        <rFont val="Aptos Narrow"/>
        <family val="2"/>
        <scheme val="minor"/>
      </rPr>
      <t>7</t>
    </r>
    <r>
      <rPr>
        <sz val="11"/>
        <color theme="1"/>
        <rFont val="Aptos Narrow"/>
        <family val="2"/>
        <scheme val="minor"/>
      </rPr>
      <t xml:space="preserve"> (last Apple from bottom is at position 7)</t>
    </r>
  </si>
  <si>
    <r>
      <t xml:space="preserve">✅ 1. Using </t>
    </r>
    <r>
      <rPr>
        <b/>
        <sz val="10"/>
        <color theme="1"/>
        <rFont val="Arial Unicode MS"/>
      </rPr>
      <t>XMATCH</t>
    </r>
    <r>
      <rPr>
        <b/>
        <sz val="13.5"/>
        <color theme="1"/>
        <rFont val="Aptos Narrow"/>
        <family val="2"/>
        <scheme val="minor"/>
      </rPr>
      <t xml:space="preserve"> with Reverse Order Option</t>
    </r>
  </si>
  <si>
    <t>Formula:</t>
  </si>
  <si>
    <t>excel</t>
  </si>
  <si>
    <t>CopyEdit</t>
  </si>
  <si>
    <r>
      <t>"Apple"</t>
    </r>
    <r>
      <rPr>
        <sz val="11"/>
        <color theme="1"/>
        <rFont val="Aptos Narrow"/>
        <family val="2"/>
        <scheme val="minor"/>
      </rPr>
      <t>: lookup value</t>
    </r>
  </si>
  <si>
    <r>
      <t>A2:A10</t>
    </r>
    <r>
      <rPr>
        <sz val="11"/>
        <color theme="1"/>
        <rFont val="Aptos Narrow"/>
        <family val="2"/>
        <scheme val="minor"/>
      </rPr>
      <t>: lookup array</t>
    </r>
  </si>
  <si>
    <r>
      <t>0</t>
    </r>
    <r>
      <rPr>
        <sz val="11"/>
        <color theme="1"/>
        <rFont val="Aptos Narrow"/>
        <family val="2"/>
        <scheme val="minor"/>
      </rPr>
      <t>: exact match</t>
    </r>
  </si>
  <si>
    <r>
      <t>-1</t>
    </r>
    <r>
      <rPr>
        <sz val="11"/>
        <color theme="1"/>
        <rFont val="Aptos Narrow"/>
        <family val="2"/>
        <scheme val="minor"/>
      </rPr>
      <t xml:space="preserve">: search </t>
    </r>
    <r>
      <rPr>
        <b/>
        <sz val="11"/>
        <color theme="1"/>
        <rFont val="Aptos Narrow"/>
        <family val="2"/>
        <scheme val="minor"/>
      </rPr>
      <t>last-to-first</t>
    </r>
    <r>
      <rPr>
        <sz val="11"/>
        <color theme="1"/>
        <rFont val="Aptos Narrow"/>
        <family val="2"/>
        <scheme val="minor"/>
      </rPr>
      <t xml:space="preserve"> (reverse)</t>
    </r>
  </si>
  <si>
    <r>
      <t xml:space="preserve">📌 </t>
    </r>
    <r>
      <rPr>
        <b/>
        <sz val="11"/>
        <color theme="1"/>
        <rFont val="Aptos Narrow"/>
        <family val="2"/>
        <scheme val="minor"/>
      </rPr>
      <t>Note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XMATCH</t>
    </r>
    <r>
      <rPr>
        <sz val="11"/>
        <color theme="1"/>
        <rFont val="Aptos Narrow"/>
        <family val="2"/>
        <scheme val="minor"/>
      </rPr>
      <t xml:space="preserve"> is available in Excel 365 and Excel 2021.</t>
    </r>
  </si>
  <si>
    <r>
      <t xml:space="preserve">✅ 2. Reverse XMATCH using </t>
    </r>
    <r>
      <rPr>
        <b/>
        <sz val="10"/>
        <color theme="1"/>
        <rFont val="Arial Unicode MS"/>
      </rPr>
      <t>INDEX</t>
    </r>
    <r>
      <rPr>
        <b/>
        <sz val="13.5"/>
        <color theme="1"/>
        <rFont val="Aptos Narrow"/>
        <family val="2"/>
        <scheme val="minor"/>
      </rPr>
      <t xml:space="preserve"> + </t>
    </r>
    <r>
      <rPr>
        <b/>
        <sz val="10"/>
        <color theme="1"/>
        <rFont val="Arial Unicode MS"/>
      </rPr>
      <t>XMATCH</t>
    </r>
    <r>
      <rPr>
        <b/>
        <sz val="13.5"/>
        <color theme="1"/>
        <rFont val="Aptos Narrow"/>
        <family val="2"/>
        <scheme val="minor"/>
      </rPr>
      <t xml:space="preserve"> with reverse array</t>
    </r>
  </si>
  <si>
    <r>
      <t xml:space="preserve">You can manually reverse the array using </t>
    </r>
    <r>
      <rPr>
        <sz val="10"/>
        <color theme="1"/>
        <rFont val="Arial Unicode MS"/>
      </rPr>
      <t>INDEX</t>
    </r>
    <r>
      <rPr>
        <sz val="11"/>
        <color theme="1"/>
        <rFont val="Aptos Narrow"/>
        <family val="2"/>
        <scheme val="minor"/>
      </rPr>
      <t>.</t>
    </r>
  </si>
  <si>
    <r>
      <t>SEQUENCE(ROWS(...),,,-1)</t>
    </r>
    <r>
      <rPr>
        <sz val="11"/>
        <color theme="1"/>
        <rFont val="Aptos Narrow"/>
        <family val="2"/>
        <scheme val="minor"/>
      </rPr>
      <t xml:space="preserve"> creates a reverse order.</t>
    </r>
  </si>
  <si>
    <r>
      <t>INDEX(..., XMATCH(...))</t>
    </r>
    <r>
      <rPr>
        <sz val="11"/>
        <color theme="1"/>
        <rFont val="Aptos Narrow"/>
        <family val="2"/>
        <scheme val="minor"/>
      </rPr>
      <t xml:space="preserve"> finds the position from bottom.</t>
    </r>
  </si>
  <si>
    <r>
      <t xml:space="preserve">✅ 3. Reverse Match Using </t>
    </r>
    <r>
      <rPr>
        <b/>
        <sz val="10"/>
        <color theme="1"/>
        <rFont val="Arial Unicode MS"/>
      </rPr>
      <t>LOOKUP</t>
    </r>
    <r>
      <rPr>
        <b/>
        <sz val="13.5"/>
        <color theme="1"/>
        <rFont val="Aptos Narrow"/>
        <family val="2"/>
        <scheme val="minor"/>
      </rPr>
      <t xml:space="preserve"> with Reverse Range</t>
    </r>
  </si>
  <si>
    <r>
      <t xml:space="preserve">This is a legacy trick using </t>
    </r>
    <r>
      <rPr>
        <sz val="10"/>
        <color theme="1"/>
        <rFont val="Arial Unicode MS"/>
      </rPr>
      <t>LOOKUP</t>
    </r>
    <r>
      <rPr>
        <sz val="11"/>
        <color theme="1"/>
        <rFont val="Aptos Narrow"/>
        <family val="2"/>
        <scheme val="minor"/>
      </rPr>
      <t>.</t>
    </r>
  </si>
  <si>
    <r>
      <t>1/(A2:A10="Apple")</t>
    </r>
    <r>
      <rPr>
        <sz val="11"/>
        <color theme="1"/>
        <rFont val="Aptos Narrow"/>
        <family val="2"/>
        <scheme val="minor"/>
      </rPr>
      <t xml:space="preserve"> creates an array of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 xml:space="preserve">s and </t>
    </r>
    <r>
      <rPr>
        <sz val="10"/>
        <color theme="1"/>
        <rFont val="Arial Unicode MS"/>
      </rPr>
      <t>#DIV/0!</t>
    </r>
  </si>
  <si>
    <r>
      <t>LOOKUP(2,...)</t>
    </r>
    <r>
      <rPr>
        <sz val="11"/>
        <color theme="1"/>
        <rFont val="Aptos Narrow"/>
        <family val="2"/>
        <scheme val="minor"/>
      </rPr>
      <t xml:space="preserve"> returns the </t>
    </r>
    <r>
      <rPr>
        <b/>
        <sz val="11"/>
        <color theme="1"/>
        <rFont val="Aptos Narrow"/>
        <family val="2"/>
        <scheme val="minor"/>
      </rPr>
      <t>last match</t>
    </r>
  </si>
  <si>
    <r>
      <t xml:space="preserve">Subtracting </t>
    </r>
    <r>
      <rPr>
        <sz val="10"/>
        <color theme="1"/>
        <rFont val="Arial Unicode MS"/>
      </rPr>
      <t>ROW(A2)-1</t>
    </r>
    <r>
      <rPr>
        <sz val="11"/>
        <color theme="1"/>
        <rFont val="Aptos Narrow"/>
        <family val="2"/>
        <scheme val="minor"/>
      </rPr>
      <t xml:space="preserve"> gives the relative position</t>
    </r>
  </si>
  <si>
    <r>
      <t xml:space="preserve">✅ 4. Using </t>
    </r>
    <r>
      <rPr>
        <b/>
        <sz val="10"/>
        <color theme="1"/>
        <rFont val="Arial Unicode MS"/>
      </rPr>
      <t>FILTER</t>
    </r>
    <r>
      <rPr>
        <b/>
        <sz val="13.5"/>
        <color theme="1"/>
        <rFont val="Aptos Narrow"/>
        <family val="2"/>
        <scheme val="minor"/>
      </rPr>
      <t xml:space="preserve"> + </t>
    </r>
    <r>
      <rPr>
        <b/>
        <sz val="10"/>
        <color theme="1"/>
        <rFont val="Arial Unicode MS"/>
      </rPr>
      <t>INDEX</t>
    </r>
    <r>
      <rPr>
        <b/>
        <sz val="13.5"/>
        <color theme="1"/>
        <rFont val="Aptos Narrow"/>
        <family val="2"/>
        <scheme val="minor"/>
      </rPr>
      <t xml:space="preserve"> + </t>
    </r>
    <r>
      <rPr>
        <b/>
        <sz val="10"/>
        <color theme="1"/>
        <rFont val="Arial Unicode MS"/>
      </rPr>
      <t>XMATCH</t>
    </r>
    <r>
      <rPr>
        <b/>
        <sz val="13.5"/>
        <color theme="1"/>
        <rFont val="Aptos Narrow"/>
        <family val="2"/>
        <scheme val="minor"/>
      </rPr>
      <t xml:space="preserve"> (to extract reverse match)</t>
    </r>
  </si>
  <si>
    <r>
      <t xml:space="preserve">If you want to </t>
    </r>
    <r>
      <rPr>
        <b/>
        <sz val="11"/>
        <color theme="1"/>
        <rFont val="Aptos Narrow"/>
        <family val="2"/>
        <scheme val="minor"/>
      </rPr>
      <t>get the value</t>
    </r>
    <r>
      <rPr>
        <sz val="11"/>
        <color theme="1"/>
        <rFont val="Aptos Narrow"/>
        <family val="2"/>
        <scheme val="minor"/>
      </rPr>
      <t xml:space="preserve"> and not just the position:</t>
    </r>
  </si>
  <si>
    <r>
      <t xml:space="preserve">Same logic but gives the </t>
    </r>
    <r>
      <rPr>
        <b/>
        <sz val="11"/>
        <color theme="1"/>
        <rFont val="Aptos Narrow"/>
        <family val="2"/>
        <scheme val="minor"/>
      </rPr>
      <t>value instead of position</t>
    </r>
    <r>
      <rPr>
        <sz val="11"/>
        <color theme="1"/>
        <rFont val="Aptos Narrow"/>
        <family val="2"/>
        <scheme val="minor"/>
      </rPr>
      <t>.</t>
    </r>
  </si>
  <si>
    <t>✅ 5. With Helper Column (Manually Reversed)</t>
  </si>
  <si>
    <r>
      <t xml:space="preserve">Create a </t>
    </r>
    <r>
      <rPr>
        <b/>
        <sz val="11"/>
        <color theme="1"/>
        <rFont val="Aptos Narrow"/>
        <family val="2"/>
        <scheme val="minor"/>
      </rPr>
      <t>helper column (e.g., Column B)</t>
    </r>
    <r>
      <rPr>
        <sz val="11"/>
        <color theme="1"/>
        <rFont val="Aptos Narrow"/>
        <family val="2"/>
        <scheme val="minor"/>
      </rPr>
      <t xml:space="preserve"> that copies </t>
    </r>
    <r>
      <rPr>
        <sz val="10"/>
        <color theme="1"/>
        <rFont val="Arial Unicode MS"/>
      </rPr>
      <t>A2:A10</t>
    </r>
    <r>
      <rPr>
        <sz val="11"/>
        <color theme="1"/>
        <rFont val="Aptos Narrow"/>
        <family val="2"/>
        <scheme val="minor"/>
      </rPr>
      <t xml:space="preserve"> in reverse using:</t>
    </r>
  </si>
  <si>
    <r>
      <t xml:space="preserve">Then use normal </t>
    </r>
    <r>
      <rPr>
        <sz val="10"/>
        <color theme="1"/>
        <rFont val="Arial Unicode MS"/>
      </rPr>
      <t>XMATCH</t>
    </r>
    <r>
      <rPr>
        <sz val="11"/>
        <color theme="1"/>
        <rFont val="Aptos Narrow"/>
        <family val="2"/>
        <scheme val="minor"/>
      </rPr>
      <t xml:space="preserve"> on column B:</t>
    </r>
  </si>
  <si>
    <t>Population</t>
  </si>
  <si>
    <t xml:space="preserve">Western </t>
  </si>
  <si>
    <t>Northern</t>
  </si>
  <si>
    <t>Southern</t>
  </si>
  <si>
    <r>
      <t xml:space="preserve">It allows you to search for a value in a column or row and return a related value from another column or row, with </t>
    </r>
    <r>
      <rPr>
        <b/>
        <sz val="11"/>
        <color theme="1"/>
        <rFont val="Aptos Narrow"/>
        <family val="2"/>
        <scheme val="minor"/>
      </rPr>
      <t>more flexibility and fewer limitations</t>
    </r>
    <r>
      <rPr>
        <sz val="11"/>
        <color theme="1"/>
        <rFont val="Aptos Narrow"/>
        <family val="2"/>
        <scheme val="minor"/>
      </rPr>
      <t>.</t>
    </r>
  </si>
  <si>
    <t>🔍 XLOOKUP Function – Syntax</t>
  </si>
  <si>
    <t>XLOOKUP(lookup_value, lookup_array, return_array, [if_not_found], [match_mode], [search_mode])</t>
  </si>
  <si>
    <t>✅ Parameters</t>
  </si>
  <si>
    <t>Parameter</t>
  </si>
  <si>
    <t>lookup_value</t>
  </si>
  <si>
    <t>The value you want to find.</t>
  </si>
  <si>
    <t>lookup_array</t>
  </si>
  <si>
    <t>The range or array to search for the value.</t>
  </si>
  <si>
    <t>return_array</t>
  </si>
  <si>
    <t>The range or array containing the value to return.</t>
  </si>
  <si>
    <r>
      <t>[if_not_found]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</si>
  <si>
    <r>
      <t xml:space="preserve">Value to return if not found (e.g., </t>
    </r>
    <r>
      <rPr>
        <sz val="10"/>
        <color theme="1"/>
        <rFont val="Arial Unicode MS"/>
      </rPr>
      <t>"Not Found"</t>
    </r>
    <r>
      <rPr>
        <sz val="11"/>
        <color theme="1"/>
        <rFont val="Aptos Narrow"/>
        <family val="2"/>
        <scheme val="minor"/>
      </rPr>
      <t>).</t>
    </r>
  </si>
  <si>
    <r>
      <t>[match_mode]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</si>
  <si>
    <t>How to match the value (see below).</t>
  </si>
  <si>
    <r>
      <t>[search_mode]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</si>
  <si>
    <t>Search direction or method (see below).</t>
  </si>
  <si>
    <r>
      <t>🔄 Match Mode Options (</t>
    </r>
    <r>
      <rPr>
        <b/>
        <sz val="10"/>
        <color theme="1"/>
        <rFont val="Arial Unicode MS"/>
      </rPr>
      <t>[match_mode]</t>
    </r>
    <r>
      <rPr>
        <b/>
        <sz val="13.5"/>
        <color theme="1"/>
        <rFont val="Aptos Narrow"/>
        <family val="2"/>
        <scheme val="minor"/>
      </rPr>
      <t>)</t>
    </r>
  </si>
  <si>
    <r>
      <t>🔁 Search Mode Options (</t>
    </r>
    <r>
      <rPr>
        <b/>
        <sz val="10"/>
        <color theme="1"/>
        <rFont val="Arial Unicode MS"/>
      </rPr>
      <t>[search_mode]</t>
    </r>
    <r>
      <rPr>
        <b/>
        <sz val="13.5"/>
        <color theme="1"/>
        <rFont val="Aptos Narrow"/>
        <family val="2"/>
        <scheme val="minor"/>
      </rPr>
      <t>)</t>
    </r>
  </si>
  <si>
    <t>⭐ Top Features of XLOOKUP</t>
  </si>
  <si>
    <r>
      <t>1. Replaces VLOOKUP &amp; HLOOKUP</t>
    </r>
    <r>
      <rPr>
        <sz val="11"/>
        <color theme="1"/>
        <rFont val="Aptos Narrow"/>
        <family val="2"/>
        <scheme val="minor"/>
      </rPr>
      <t xml:space="preserve"> — Works both vertically and horizontally.</t>
    </r>
  </si>
  <si>
    <r>
      <t>2. No need for column/row index numbers</t>
    </r>
    <r>
      <rPr>
        <sz val="11"/>
        <color theme="1"/>
        <rFont val="Aptos Narrow"/>
        <family val="2"/>
        <scheme val="minor"/>
      </rPr>
      <t xml:space="preserve"> — Directly specify return range.</t>
    </r>
  </si>
  <si>
    <r>
      <t>3. Search from bottom to top</t>
    </r>
    <r>
      <rPr>
        <sz val="11"/>
        <color theme="1"/>
        <rFont val="Aptos Narrow"/>
        <family val="2"/>
        <scheme val="minor"/>
      </rPr>
      <t xml:space="preserve"> (reverse lookup).</t>
    </r>
  </si>
  <si>
    <r>
      <t>4. Exact, approximate, and wildcard match</t>
    </r>
    <r>
      <rPr>
        <sz val="11"/>
        <color theme="1"/>
        <rFont val="Aptos Narrow"/>
        <family val="2"/>
        <scheme val="minor"/>
      </rPr>
      <t xml:space="preserve"> options.</t>
    </r>
  </si>
  <si>
    <r>
      <t>5. Handles missing values</t>
    </r>
    <r>
      <rPr>
        <sz val="11"/>
        <color theme="1"/>
        <rFont val="Aptos Narrow"/>
        <family val="2"/>
        <scheme val="minor"/>
      </rPr>
      <t xml:space="preserve"> with a custom message.</t>
    </r>
  </si>
  <si>
    <r>
      <t>6. Returns entire rows or columns</t>
    </r>
    <r>
      <rPr>
        <sz val="11"/>
        <color theme="1"/>
        <rFont val="Aptos Narrow"/>
        <family val="2"/>
        <scheme val="minor"/>
      </rPr>
      <t xml:space="preserve"> (spill results).</t>
    </r>
  </si>
  <si>
    <r>
      <t>7. Works with dynamic arrays</t>
    </r>
    <r>
      <rPr>
        <sz val="11"/>
        <color theme="1"/>
        <rFont val="Aptos Narrow"/>
        <family val="2"/>
        <scheme val="minor"/>
      </rPr>
      <t xml:space="preserve"> for multiple results.</t>
    </r>
  </si>
  <si>
    <r>
      <t>8. Binary search support</t>
    </r>
    <r>
      <rPr>
        <sz val="11"/>
        <color theme="1"/>
        <rFont val="Aptos Narrow"/>
        <family val="2"/>
        <scheme val="minor"/>
      </rPr>
      <t xml:space="preserve"> for large sorted data.</t>
    </r>
  </si>
  <si>
    <r>
      <t>9. Fewer errors</t>
    </r>
    <r>
      <rPr>
        <sz val="11"/>
        <color theme="1"/>
        <rFont val="Aptos Narrow"/>
        <family val="2"/>
        <scheme val="minor"/>
      </rPr>
      <t xml:space="preserve"> compared to VLOOKUP when columns are inserted/deleted.</t>
    </r>
  </si>
  <si>
    <r>
      <t>10. Can look left</t>
    </r>
    <r>
      <rPr>
        <sz val="11"/>
        <color theme="1"/>
        <rFont val="Aptos Narrow"/>
        <family val="2"/>
        <scheme val="minor"/>
      </rPr>
      <t xml:space="preserve"> (VLOOKUP can’t without tricks).</t>
    </r>
  </si>
  <si>
    <t>📚 Use Cases &amp; Examples</t>
  </si>
  <si>
    <t>📌 Example 1: Basic Exact Match (Vertical Lookup)</t>
  </si>
  <si>
    <t>Find the price of "Banana":</t>
  </si>
  <si>
    <r>
      <t>Result:</t>
    </r>
    <r>
      <rPr>
        <sz val="11"/>
        <color theme="1"/>
        <rFont val="Aptos Narrow"/>
        <family val="2"/>
        <scheme val="minor"/>
      </rPr>
      <t xml:space="preserve"> Price of Banana.</t>
    </r>
  </si>
  <si>
    <t>📌 Example 2: Horizontal Lookup</t>
  </si>
  <si>
    <t>Find sales for March:</t>
  </si>
  <si>
    <r>
      <t>Result:</t>
    </r>
    <r>
      <rPr>
        <sz val="11"/>
        <color theme="1"/>
        <rFont val="Aptos Narrow"/>
        <family val="2"/>
        <scheme val="minor"/>
      </rPr>
      <t xml:space="preserve"> Sales in March.</t>
    </r>
  </si>
  <si>
    <t>📌 Example 3: Custom Not Found Message</t>
  </si>
  <si>
    <r>
      <t xml:space="preserve">If "Grapes" is not in the list, returns </t>
    </r>
    <r>
      <rPr>
        <sz val="10"/>
        <color theme="1"/>
        <rFont val="Arial Unicode MS"/>
      </rPr>
      <t>"Item Not Found"</t>
    </r>
    <r>
      <rPr>
        <sz val="11"/>
        <color theme="1"/>
        <rFont val="Aptos Narrow"/>
        <family val="2"/>
        <scheme val="minor"/>
      </rPr>
      <t>.</t>
    </r>
  </si>
  <si>
    <t>📌 Example 4: Reverse Search (Last-to-First)</t>
  </si>
  <si>
    <t>Finds the last occurrence of "Apple".</t>
  </si>
  <si>
    <t>📌 Example 5: Wildcard Search</t>
  </si>
  <si>
    <t>Finds the first item starting with "App" (e.g., "Apple").</t>
  </si>
  <si>
    <t>📌 Example 6: Return Multiple Columns</t>
  </si>
  <si>
    <r>
      <t xml:space="preserve">Returns </t>
    </r>
    <r>
      <rPr>
        <b/>
        <sz val="11"/>
        <color theme="1"/>
        <rFont val="Aptos Narrow"/>
        <family val="2"/>
        <scheme val="minor"/>
      </rPr>
      <t>Price, Quantity, and Rating</t>
    </r>
    <r>
      <rPr>
        <sz val="11"/>
        <color theme="1"/>
        <rFont val="Aptos Narrow"/>
        <family val="2"/>
        <scheme val="minor"/>
      </rPr>
      <t xml:space="preserve"> for Banana (spilled across columns).</t>
    </r>
  </si>
  <si>
    <t>📌 Example 7: Approximate Match (Next Smaller Item)</t>
  </si>
  <si>
    <t>Finds the next smaller number if exact is not found.</t>
  </si>
  <si>
    <t>📌 Example 8: Lookup to the Left</t>
  </si>
  <si>
    <r>
      <t xml:space="preserve">Returns the </t>
    </r>
    <r>
      <rPr>
        <b/>
        <sz val="11"/>
        <color theme="1"/>
        <rFont val="Aptos Narrow"/>
        <family val="2"/>
        <scheme val="minor"/>
      </rPr>
      <t>Item Name</t>
    </r>
    <r>
      <rPr>
        <sz val="11"/>
        <color theme="1"/>
        <rFont val="Aptos Narrow"/>
        <family val="2"/>
        <scheme val="minor"/>
      </rPr>
      <t xml:space="preserve"> when searching from the Price column.</t>
    </r>
  </si>
  <si>
    <t>📌 Example 9: Binary Search (Fast for Large Data)</t>
  </si>
  <si>
    <t>Fast search for sorted data.</t>
  </si>
  <si>
    <t>🔹 XLOOKUP vs VLOOKUP vs INDEX+MATCH</t>
  </si>
  <si>
    <t>VLOOKUP</t>
  </si>
  <si>
    <t>INDEX+MATCH</t>
  </si>
  <si>
    <t>XLOOKUP</t>
  </si>
  <si>
    <t>Look left</t>
  </si>
  <si>
    <t>Search horizontal</t>
  </si>
  <si>
    <t>Multiple return cols</t>
  </si>
  <si>
    <t>If not found option</t>
  </si>
  <si>
    <t>Dynamic arrays</t>
  </si>
  <si>
    <r>
      <t xml:space="preserve">XLOOKUP in Excel is a modern lookup function that searches for a value in a range (column or row) and returns a related value from another range.
It is designed to replace VLOOKUP, HLOOKUP, and LOOKUP with more power and flexibility.
</t>
    </r>
    <r>
      <rPr>
        <b/>
        <sz val="11"/>
        <color theme="1"/>
        <rFont val="Aptos Narrow"/>
        <family val="2"/>
        <scheme val="minor"/>
      </rPr>
      <t xml:space="preserve">
 Definition:
</t>
    </r>
    <r>
      <rPr>
        <sz val="11"/>
        <color theme="1"/>
        <rFont val="Aptos Narrow"/>
        <family val="2"/>
        <scheme val="minor"/>
      </rPr>
      <t xml:space="preserve">XLOOKUP looks for a specific value in a given range and returns a matching value from another range, without the limitations of older lookup functions.
</t>
    </r>
  </si>
  <si>
    <t>ID</t>
  </si>
  <si>
    <t>Name</t>
  </si>
  <si>
    <t>Address</t>
  </si>
  <si>
    <t>Department</t>
  </si>
  <si>
    <t>Salary</t>
  </si>
  <si>
    <t>Kimi</t>
  </si>
  <si>
    <t>Jani</t>
  </si>
  <si>
    <t>Kaku</t>
  </si>
  <si>
    <t>Riya</t>
  </si>
  <si>
    <t>Amit</t>
  </si>
  <si>
    <t>Delhi</t>
  </si>
  <si>
    <t>Mumbai</t>
  </si>
  <si>
    <t>Kolkata</t>
  </si>
  <si>
    <t>Haryana</t>
  </si>
  <si>
    <t>Rajasthan</t>
  </si>
  <si>
    <t>IT</t>
  </si>
  <si>
    <t>Finance</t>
  </si>
  <si>
    <t>Field</t>
  </si>
  <si>
    <t xml:space="preserve">English </t>
  </si>
  <si>
    <t>Math</t>
  </si>
  <si>
    <t>Harry</t>
  </si>
  <si>
    <t>Carry</t>
  </si>
  <si>
    <t>Marry</t>
  </si>
  <si>
    <t>Johny</t>
  </si>
  <si>
    <t>Peter</t>
  </si>
  <si>
    <t>Xlookup With Multiple Values</t>
  </si>
  <si>
    <t>Nested Xlookup</t>
  </si>
  <si>
    <t>Xlookup to Use Not Found</t>
  </si>
  <si>
    <t>Xlookup With Not Show Lookup Value</t>
  </si>
  <si>
    <t>Use Data Validation</t>
  </si>
  <si>
    <t>Sunny</t>
  </si>
  <si>
    <t>Xlookup With Using SUM</t>
  </si>
  <si>
    <t>Start</t>
  </si>
  <si>
    <t>End</t>
  </si>
  <si>
    <t>Total Marks</t>
  </si>
  <si>
    <t xml:space="preserve">Xlookup Using Horizontal </t>
  </si>
  <si>
    <t>No drag down</t>
  </si>
  <si>
    <t>Sales</t>
  </si>
  <si>
    <t>Guava</t>
  </si>
  <si>
    <t>North</t>
  </si>
  <si>
    <t>South</t>
  </si>
  <si>
    <t>West</t>
  </si>
  <si>
    <t>East</t>
  </si>
  <si>
    <t>Category</t>
  </si>
  <si>
    <t>Jan</t>
  </si>
  <si>
    <t>Feb</t>
  </si>
  <si>
    <t>Mar</t>
  </si>
  <si>
    <t>Rent</t>
  </si>
  <si>
    <t>Utilities</t>
  </si>
  <si>
    <t>Groceries</t>
  </si>
  <si>
    <t>Internet</t>
  </si>
  <si>
    <t>Sum (…) = adds up the values returned by xlookup</t>
  </si>
  <si>
    <t>Error</t>
  </si>
  <si>
    <t>*r*n</t>
  </si>
  <si>
    <t>Departmet</t>
  </si>
  <si>
    <t>% of Total</t>
  </si>
  <si>
    <t>Toys</t>
  </si>
  <si>
    <t>Electronic</t>
  </si>
  <si>
    <t>Grocery</t>
  </si>
  <si>
    <t>Clothing</t>
  </si>
  <si>
    <t>Furniture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</si>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</sst>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0" xfId="0" applyNumberFormat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6" borderId="2" xfId="0" applyFont="1" applyFill="1" applyBorder="1"/>
    <xf numFmtId="0" fontId="2" fillId="6" borderId="3" xfId="0" applyFont="1" applyFill="1" applyBorder="1"/>
    <xf numFmtId="0" fontId="0" fillId="0" borderId="3" xfId="0" applyBorder="1"/>
    <xf numFmtId="0" fontId="2" fillId="6" borderId="0" xfId="0" applyFont="1" applyFill="1"/>
    <xf numFmtId="0" fontId="9" fillId="8" borderId="1" xfId="0" applyFont="1" applyFill="1" applyBorder="1" applyAlignment="1">
      <alignment vertical="center"/>
    </xf>
    <xf numFmtId="0" fontId="9" fillId="8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9" fillId="9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10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5CA0-AD82-43C2-B9E4-01064A3632EF}">
  <dimension ref="A1:F54"/>
  <sheetViews>
    <sheetView topLeftCell="A7" zoomScale="55" zoomScaleNormal="55" workbookViewId="0">
      <selection activeCell="B10" sqref="B10"/>
    </sheetView>
  </sheetViews>
  <sheetFormatPr defaultRowHeight="14.4"/>
  <cols>
    <col min="2" max="2" width="68.44140625" customWidth="1"/>
    <col min="3" max="3" width="42.6640625" customWidth="1"/>
    <col min="4" max="4" width="20" customWidth="1"/>
    <col min="5" max="5" width="17" customWidth="1"/>
    <col min="6" max="6" width="32.6640625" customWidth="1"/>
  </cols>
  <sheetData>
    <row r="1" spans="1:6">
      <c r="A1" s="34" t="s">
        <v>1</v>
      </c>
      <c r="B1" s="34"/>
      <c r="C1" s="34"/>
      <c r="D1" s="34"/>
      <c r="E1" s="34"/>
      <c r="F1" s="34"/>
    </row>
    <row r="2" spans="1:6">
      <c r="A2" s="34" t="s">
        <v>0</v>
      </c>
      <c r="B2" s="34"/>
      <c r="C2" s="34"/>
      <c r="D2" s="34"/>
      <c r="E2" s="34"/>
      <c r="F2" s="34"/>
    </row>
    <row r="3" spans="1:6">
      <c r="A3" s="33" t="s">
        <v>2</v>
      </c>
      <c r="B3" s="33"/>
      <c r="C3" s="33"/>
      <c r="D3" s="33"/>
      <c r="E3" s="33"/>
      <c r="F3" s="33"/>
    </row>
    <row r="4" spans="1:6">
      <c r="A4" s="33"/>
      <c r="B4" s="33"/>
      <c r="C4" s="33"/>
      <c r="D4" s="33"/>
      <c r="E4" s="33"/>
      <c r="F4" s="33"/>
    </row>
    <row r="5" spans="1:6">
      <c r="A5" s="33"/>
      <c r="B5" s="33"/>
      <c r="C5" s="33"/>
      <c r="D5" s="33"/>
      <c r="E5" s="33"/>
      <c r="F5" s="33"/>
    </row>
    <row r="6" spans="1:6">
      <c r="A6" s="33"/>
      <c r="B6" s="33"/>
      <c r="C6" s="33"/>
      <c r="D6" s="33"/>
      <c r="E6" s="33"/>
      <c r="F6" s="33"/>
    </row>
    <row r="7" spans="1:6" ht="18">
      <c r="A7" s="1" t="s">
        <v>3</v>
      </c>
      <c r="E7" s="1" t="s">
        <v>10</v>
      </c>
    </row>
    <row r="9" spans="1:6" ht="28.8" customHeight="1">
      <c r="A9" s="3" t="s">
        <v>4</v>
      </c>
      <c r="B9" s="3" t="s">
        <v>5</v>
      </c>
      <c r="E9" s="3" t="s">
        <v>4</v>
      </c>
      <c r="F9" s="3" t="s">
        <v>5</v>
      </c>
    </row>
    <row r="10" spans="1:6" ht="43.2" customHeight="1">
      <c r="A10" s="4">
        <v>0</v>
      </c>
      <c r="B10" s="5" t="s">
        <v>6</v>
      </c>
      <c r="E10" s="4">
        <v>1</v>
      </c>
      <c r="F10" s="5" t="s">
        <v>11</v>
      </c>
    </row>
    <row r="11" spans="1:6" ht="72" customHeight="1">
      <c r="A11" s="4">
        <v>-1</v>
      </c>
      <c r="B11" s="4" t="s">
        <v>7</v>
      </c>
      <c r="E11" s="4">
        <v>-1</v>
      </c>
      <c r="F11" s="5" t="s">
        <v>12</v>
      </c>
    </row>
    <row r="12" spans="1:6" ht="72" customHeight="1">
      <c r="A12" s="4">
        <v>1</v>
      </c>
      <c r="B12" s="4" t="s">
        <v>8</v>
      </c>
      <c r="E12" s="4">
        <v>2</v>
      </c>
      <c r="F12" s="5" t="s">
        <v>13</v>
      </c>
    </row>
    <row r="13" spans="1:6" ht="57.6" customHeight="1">
      <c r="A13" s="4">
        <v>2</v>
      </c>
      <c r="B13" s="5" t="s">
        <v>9</v>
      </c>
      <c r="E13" s="4">
        <v>-2</v>
      </c>
      <c r="F13" s="5" t="s">
        <v>14</v>
      </c>
    </row>
    <row r="14" spans="1:6" ht="18">
      <c r="B14" s="1" t="s">
        <v>15</v>
      </c>
    </row>
    <row r="15" spans="1:6">
      <c r="B15" s="6"/>
    </row>
    <row r="16" spans="1:6">
      <c r="B16" s="6" t="s">
        <v>16</v>
      </c>
    </row>
    <row r="17" spans="2:2">
      <c r="B17" s="6"/>
    </row>
    <row r="18" spans="2:2">
      <c r="B18" s="6" t="s">
        <v>17</v>
      </c>
    </row>
    <row r="19" spans="2:2">
      <c r="B19" s="6"/>
    </row>
    <row r="20" spans="2:2">
      <c r="B20" s="6" t="s">
        <v>18</v>
      </c>
    </row>
    <row r="21" spans="2:2">
      <c r="B21" s="6"/>
    </row>
    <row r="22" spans="2:2">
      <c r="B22" s="6" t="s">
        <v>19</v>
      </c>
    </row>
    <row r="23" spans="2:2">
      <c r="B23" s="6"/>
    </row>
    <row r="24" spans="2:2">
      <c r="B24" s="6" t="s">
        <v>20</v>
      </c>
    </row>
    <row r="25" spans="2:2">
      <c r="B25" s="6"/>
    </row>
    <row r="26" spans="2:2">
      <c r="B26" s="6" t="s">
        <v>21</v>
      </c>
    </row>
    <row r="27" spans="2:2">
      <c r="B27" s="6"/>
    </row>
    <row r="28" spans="2:2">
      <c r="B28" s="6" t="s">
        <v>22</v>
      </c>
    </row>
    <row r="29" spans="2:2">
      <c r="B29" s="6"/>
    </row>
    <row r="30" spans="2:2">
      <c r="B30" s="6" t="s">
        <v>23</v>
      </c>
    </row>
    <row r="34" spans="2:4" ht="18">
      <c r="B34" s="1" t="s">
        <v>24</v>
      </c>
    </row>
    <row r="36" spans="2:4" ht="32.4" customHeight="1">
      <c r="B36" s="3" t="s">
        <v>25</v>
      </c>
      <c r="C36" s="3" t="s">
        <v>26</v>
      </c>
      <c r="D36" s="3" t="s">
        <v>27</v>
      </c>
    </row>
    <row r="37" spans="2:4" ht="32.4" customHeight="1">
      <c r="B37" s="2" t="s">
        <v>28</v>
      </c>
      <c r="C37" s="2" t="s">
        <v>29</v>
      </c>
      <c r="D37" s="2" t="s">
        <v>29</v>
      </c>
    </row>
    <row r="38" spans="2:4" ht="32.4" customHeight="1">
      <c r="B38" s="2" t="s">
        <v>30</v>
      </c>
      <c r="C38" s="2" t="s">
        <v>29</v>
      </c>
      <c r="D38" s="2" t="s">
        <v>29</v>
      </c>
    </row>
    <row r="39" spans="2:4" ht="32.4" customHeight="1">
      <c r="B39" s="2" t="s">
        <v>31</v>
      </c>
      <c r="C39" s="2" t="s">
        <v>32</v>
      </c>
      <c r="D39" s="2" t="s">
        <v>29</v>
      </c>
    </row>
    <row r="40" spans="2:4" ht="32.4" customHeight="1">
      <c r="B40" s="2" t="s">
        <v>33</v>
      </c>
      <c r="C40" s="2" t="s">
        <v>32</v>
      </c>
      <c r="D40" s="2" t="s">
        <v>29</v>
      </c>
    </row>
    <row r="41" spans="2:4" ht="32.4" customHeight="1">
      <c r="B41" s="2" t="s">
        <v>34</v>
      </c>
      <c r="C41" s="2" t="s">
        <v>29</v>
      </c>
      <c r="D41" s="2" t="s">
        <v>29</v>
      </c>
    </row>
    <row r="42" spans="2:4" ht="32.4" customHeight="1">
      <c r="B42" s="2" t="s">
        <v>35</v>
      </c>
      <c r="C42" s="2" t="s">
        <v>32</v>
      </c>
      <c r="D42" s="2" t="s">
        <v>29</v>
      </c>
    </row>
    <row r="43" spans="2:4" ht="32.4" customHeight="1">
      <c r="B43" s="2" t="s">
        <v>36</v>
      </c>
      <c r="C43" s="2" t="s">
        <v>29</v>
      </c>
      <c r="D43" s="2" t="s">
        <v>29</v>
      </c>
    </row>
    <row r="44" spans="2:4" ht="18">
      <c r="B44" s="1" t="s">
        <v>37</v>
      </c>
    </row>
    <row r="45" spans="2:4">
      <c r="B45" s="6"/>
    </row>
    <row r="46" spans="2:4">
      <c r="B46" s="6" t="s">
        <v>38</v>
      </c>
    </row>
    <row r="47" spans="2:4">
      <c r="B47" s="6"/>
    </row>
    <row r="48" spans="2:4">
      <c r="B48" s="6" t="s">
        <v>39</v>
      </c>
    </row>
    <row r="49" spans="2:2">
      <c r="B49" s="6"/>
    </row>
    <row r="50" spans="2:2">
      <c r="B50" s="6" t="s">
        <v>40</v>
      </c>
    </row>
    <row r="51" spans="2:2">
      <c r="B51" s="6"/>
    </row>
    <row r="52" spans="2:2">
      <c r="B52" s="6" t="s">
        <v>41</v>
      </c>
    </row>
    <row r="53" spans="2:2">
      <c r="B53" s="6"/>
    </row>
    <row r="54" spans="2:2">
      <c r="B54" s="6" t="s">
        <v>42</v>
      </c>
    </row>
  </sheetData>
  <mergeCells count="6">
    <mergeCell ref="A6:F6"/>
    <mergeCell ref="A1:F1"/>
    <mergeCell ref="A2:F2"/>
    <mergeCell ref="A3:F3"/>
    <mergeCell ref="A4:F4"/>
    <mergeCell ref="A5:F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E0A2-581B-46EE-99B7-482F4F2A6EBC}">
  <dimension ref="A1:G6"/>
  <sheetViews>
    <sheetView workbookViewId="0">
      <selection activeCell="F16" sqref="F16"/>
    </sheetView>
  </sheetViews>
  <sheetFormatPr defaultRowHeight="14.4"/>
  <sheetData>
    <row r="1" spans="1:7">
      <c r="A1" s="7" t="s">
        <v>43</v>
      </c>
      <c r="B1" s="7" t="s">
        <v>44</v>
      </c>
      <c r="C1" s="7" t="s">
        <v>45</v>
      </c>
      <c r="E1" s="7" t="s">
        <v>43</v>
      </c>
      <c r="F1" s="7" t="s">
        <v>44</v>
      </c>
      <c r="G1" s="7" t="s">
        <v>45</v>
      </c>
    </row>
    <row r="2" spans="1:7">
      <c r="A2" s="8">
        <v>1</v>
      </c>
      <c r="B2" s="8" t="s">
        <v>46</v>
      </c>
      <c r="C2" s="9">
        <v>3970</v>
      </c>
    </row>
    <row r="3" spans="1:7">
      <c r="A3" s="8">
        <v>2</v>
      </c>
      <c r="B3" s="8" t="s">
        <v>47</v>
      </c>
      <c r="C3" s="9">
        <v>3646</v>
      </c>
    </row>
    <row r="4" spans="1:7">
      <c r="A4" s="8">
        <v>3</v>
      </c>
      <c r="B4" s="8" t="s">
        <v>48</v>
      </c>
      <c r="C4" s="9">
        <v>3741</v>
      </c>
      <c r="F4" t="s">
        <v>51</v>
      </c>
      <c r="G4" t="s">
        <v>47</v>
      </c>
    </row>
    <row r="5" spans="1:7">
      <c r="A5" s="8">
        <v>4</v>
      </c>
      <c r="B5" s="8" t="s">
        <v>49</v>
      </c>
      <c r="C5" s="9">
        <v>3270</v>
      </c>
      <c r="E5" t="s">
        <v>43</v>
      </c>
      <c r="F5">
        <f>_xlfn.XMATCH(G4,B2:B6)</f>
        <v>2</v>
      </c>
    </row>
    <row r="6" spans="1:7">
      <c r="A6" s="8">
        <v>5</v>
      </c>
      <c r="B6" s="8" t="s">
        <v>50</v>
      </c>
      <c r="C6" s="9">
        <v>1205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5D16-89E9-4E6A-8489-BB4CFBC564E8}">
  <dimension ref="A1:G7"/>
  <sheetViews>
    <sheetView zoomScale="205" zoomScaleNormal="205" workbookViewId="0">
      <selection activeCell="B8" sqref="B8"/>
    </sheetView>
  </sheetViews>
  <sheetFormatPr defaultRowHeight="14.4"/>
  <sheetData>
    <row r="1" spans="1:7">
      <c r="A1" s="7" t="s">
        <v>44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</row>
    <row r="2" spans="1:7">
      <c r="A2" s="7" t="s">
        <v>45</v>
      </c>
      <c r="B2" s="9">
        <v>3979</v>
      </c>
      <c r="C2" s="9">
        <v>3646</v>
      </c>
      <c r="D2" s="9">
        <v>3741</v>
      </c>
      <c r="E2" s="9">
        <v>3970</v>
      </c>
      <c r="F2" s="9">
        <v>1205</v>
      </c>
      <c r="G2" s="11">
        <v>3645</v>
      </c>
    </row>
    <row r="5" spans="1:7">
      <c r="A5" t="s">
        <v>44</v>
      </c>
      <c r="B5" t="s">
        <v>47</v>
      </c>
    </row>
    <row r="6" spans="1:7">
      <c r="A6" t="s">
        <v>43</v>
      </c>
      <c r="B6">
        <f>_xlfn.XMATCH(B5,B1:F1)</f>
        <v>2</v>
      </c>
    </row>
    <row r="7" spans="1:7">
      <c r="B7">
        <f>_xlfn.XMATCH(G2,B2:G2,1,-1)</f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FC51-9D59-4978-895C-74EE1D6FABB6}">
  <dimension ref="A1:G7"/>
  <sheetViews>
    <sheetView zoomScale="220" zoomScaleNormal="220" workbookViewId="0">
      <selection activeCell="C4" sqref="C4"/>
    </sheetView>
  </sheetViews>
  <sheetFormatPr defaultRowHeight="14.4"/>
  <cols>
    <col min="5" max="5" width="13.88671875" customWidth="1"/>
    <col min="6" max="6" width="14.5546875" customWidth="1"/>
  </cols>
  <sheetData>
    <row r="1" spans="1:7">
      <c r="A1" s="7" t="s">
        <v>43</v>
      </c>
      <c r="B1" s="7" t="s">
        <v>44</v>
      </c>
      <c r="C1" s="7" t="s">
        <v>45</v>
      </c>
      <c r="E1" s="7" t="s">
        <v>45</v>
      </c>
      <c r="F1" s="9">
        <v>3970</v>
      </c>
      <c r="G1" s="11">
        <v>3565</v>
      </c>
    </row>
    <row r="2" spans="1:7">
      <c r="A2" s="8">
        <v>1</v>
      </c>
      <c r="B2" s="8" t="s">
        <v>46</v>
      </c>
      <c r="C2" s="9">
        <v>3970</v>
      </c>
    </row>
    <row r="3" spans="1:7">
      <c r="A3" s="8">
        <v>2</v>
      </c>
      <c r="B3" s="8" t="s">
        <v>47</v>
      </c>
      <c r="C3" s="9">
        <v>3646</v>
      </c>
    </row>
    <row r="4" spans="1:7">
      <c r="A4" s="8">
        <v>3</v>
      </c>
      <c r="B4" s="8" t="s">
        <v>48</v>
      </c>
      <c r="C4" s="9">
        <v>3741</v>
      </c>
      <c r="E4" s="35" t="s">
        <v>52</v>
      </c>
      <c r="F4" s="35"/>
    </row>
    <row r="5" spans="1:7">
      <c r="A5" s="8">
        <v>4</v>
      </c>
      <c r="B5" s="8" t="s">
        <v>49</v>
      </c>
      <c r="C5" s="9">
        <v>3270</v>
      </c>
      <c r="E5" s="8" t="s">
        <v>28</v>
      </c>
      <c r="F5" s="8">
        <f>_xlfn.XMATCH(F1,C2:C6,0)</f>
        <v>1</v>
      </c>
    </row>
    <row r="6" spans="1:7">
      <c r="A6" s="8">
        <v>5</v>
      </c>
      <c r="B6" s="8" t="s">
        <v>50</v>
      </c>
      <c r="C6" s="9">
        <v>1205</v>
      </c>
      <c r="E6" s="8" t="s">
        <v>53</v>
      </c>
      <c r="F6" s="8">
        <f>_xlfn.XMATCH(G1,C2:C6,-1)</f>
        <v>4</v>
      </c>
      <c r="G6">
        <f>_xlfn.XMATCH(G1,C2:C6,-1)</f>
        <v>4</v>
      </c>
    </row>
    <row r="7" spans="1:7">
      <c r="E7" s="8" t="s">
        <v>54</v>
      </c>
      <c r="F7" s="8">
        <f>_xlfn.XMATCH(G1,C2:C6,1)</f>
        <v>2</v>
      </c>
    </row>
  </sheetData>
  <mergeCells count="1">
    <mergeCell ref="E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FD21-7053-495E-AB06-5876484063FD}">
  <dimension ref="A1:F8"/>
  <sheetViews>
    <sheetView zoomScale="235" zoomScaleNormal="235" workbookViewId="0">
      <selection activeCell="F7" sqref="F7"/>
    </sheetView>
  </sheetViews>
  <sheetFormatPr defaultRowHeight="14.4"/>
  <sheetData>
    <row r="1" spans="1:6">
      <c r="A1" s="12" t="s">
        <v>43</v>
      </c>
      <c r="B1" s="12" t="s">
        <v>55</v>
      </c>
      <c r="C1" s="12" t="s">
        <v>45</v>
      </c>
    </row>
    <row r="2" spans="1:6">
      <c r="A2" s="8">
        <v>1</v>
      </c>
      <c r="B2" s="8" t="s">
        <v>56</v>
      </c>
      <c r="C2" s="9">
        <v>6398</v>
      </c>
      <c r="E2" s="12" t="s">
        <v>55</v>
      </c>
      <c r="F2" t="s">
        <v>61</v>
      </c>
    </row>
    <row r="3" spans="1:6">
      <c r="A3" s="8">
        <v>2</v>
      </c>
      <c r="B3" s="8" t="s">
        <v>57</v>
      </c>
      <c r="C3" s="9">
        <v>7392</v>
      </c>
      <c r="E3" s="12" t="s">
        <v>43</v>
      </c>
      <c r="F3">
        <f>_xlfn.XMATCH(F2,B2:B6,2)</f>
        <v>4</v>
      </c>
    </row>
    <row r="4" spans="1:6">
      <c r="A4" s="8">
        <v>3</v>
      </c>
      <c r="B4" s="8" t="s">
        <v>58</v>
      </c>
      <c r="C4" s="9">
        <v>7386</v>
      </c>
    </row>
    <row r="5" spans="1:6">
      <c r="A5" s="8">
        <v>4</v>
      </c>
      <c r="B5" s="8" t="s">
        <v>59</v>
      </c>
      <c r="C5" s="9">
        <v>6930</v>
      </c>
    </row>
    <row r="6" spans="1:6">
      <c r="A6" s="8">
        <v>5</v>
      </c>
      <c r="B6" s="8" t="s">
        <v>60</v>
      </c>
      <c r="C6" s="9">
        <v>7470</v>
      </c>
    </row>
    <row r="7" spans="1:6">
      <c r="F7" t="s">
        <v>241</v>
      </c>
    </row>
    <row r="8" spans="1:6">
      <c r="F8">
        <f>_xlfn.XMATCH(F7,B2:B6,2)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16F7-84B3-4D9A-8A52-5B69F55ECFA0}">
  <dimension ref="A1:O96"/>
  <sheetViews>
    <sheetView workbookViewId="0">
      <selection activeCell="J60" sqref="J60"/>
    </sheetView>
  </sheetViews>
  <sheetFormatPr defaultRowHeight="14.4"/>
  <cols>
    <col min="1" max="1" width="14.88671875" customWidth="1"/>
    <col min="2" max="2" width="11.33203125" customWidth="1"/>
    <col min="5" max="5" width="17.5546875" customWidth="1"/>
    <col min="10" max="11" width="16.6640625" customWidth="1"/>
  </cols>
  <sheetData>
    <row r="1" spans="1:15">
      <c r="A1" s="13" t="s">
        <v>62</v>
      </c>
      <c r="B1" s="13" t="s">
        <v>44</v>
      </c>
      <c r="C1" s="13" t="s">
        <v>63</v>
      </c>
      <c r="E1" s="14" t="s">
        <v>62</v>
      </c>
      <c r="F1" s="14" t="s">
        <v>65</v>
      </c>
      <c r="G1" s="14" t="s">
        <v>50</v>
      </c>
      <c r="J1" s="15" t="s">
        <v>90</v>
      </c>
    </row>
    <row r="2" spans="1:15">
      <c r="A2" s="8" t="s">
        <v>64</v>
      </c>
      <c r="B2" s="8" t="s">
        <v>50</v>
      </c>
      <c r="C2" s="9">
        <v>4550</v>
      </c>
      <c r="E2" t="s">
        <v>74</v>
      </c>
      <c r="F2">
        <f>_xlfn.XMATCH(F1,A2:A11,0,-1)</f>
        <v>8</v>
      </c>
      <c r="J2" s="16" t="s">
        <v>91</v>
      </c>
    </row>
    <row r="3" spans="1:15">
      <c r="A3" s="8" t="s">
        <v>65</v>
      </c>
      <c r="B3" s="8" t="s">
        <v>68</v>
      </c>
      <c r="C3" s="9">
        <v>7800</v>
      </c>
      <c r="J3" s="16" t="s">
        <v>92</v>
      </c>
    </row>
    <row r="4" spans="1:15">
      <c r="A4" s="8" t="s">
        <v>66</v>
      </c>
      <c r="B4" s="8" t="s">
        <v>47</v>
      </c>
      <c r="C4" s="9">
        <v>7000</v>
      </c>
      <c r="J4" s="16" t="s">
        <v>93</v>
      </c>
    </row>
    <row r="5" spans="1:15">
      <c r="A5" s="8" t="s">
        <v>65</v>
      </c>
      <c r="B5" s="8" t="s">
        <v>49</v>
      </c>
      <c r="C5" s="9">
        <v>9000</v>
      </c>
      <c r="J5" s="16" t="s">
        <v>94</v>
      </c>
    </row>
    <row r="6" spans="1:15">
      <c r="A6" s="8" t="s">
        <v>65</v>
      </c>
      <c r="B6" s="8" t="s">
        <v>46</v>
      </c>
      <c r="C6" s="9">
        <v>6000</v>
      </c>
      <c r="J6" s="16" t="s">
        <v>91</v>
      </c>
    </row>
    <row r="7" spans="1:15">
      <c r="A7" s="8" t="s">
        <v>66</v>
      </c>
      <c r="B7" s="8" t="s">
        <v>69</v>
      </c>
      <c r="C7" s="9">
        <v>6809</v>
      </c>
      <c r="J7" s="16" t="s">
        <v>95</v>
      </c>
    </row>
    <row r="8" spans="1:15">
      <c r="A8" s="8" t="s">
        <v>64</v>
      </c>
      <c r="B8" s="8" t="s">
        <v>70</v>
      </c>
      <c r="C8" s="9">
        <v>4300</v>
      </c>
      <c r="J8" s="16" t="s">
        <v>91</v>
      </c>
    </row>
    <row r="9" spans="1:15">
      <c r="A9" s="8" t="s">
        <v>65</v>
      </c>
      <c r="B9" s="8" t="s">
        <v>71</v>
      </c>
      <c r="C9" s="9">
        <v>3000</v>
      </c>
      <c r="J9" s="16" t="s">
        <v>96</v>
      </c>
    </row>
    <row r="10" spans="1:15">
      <c r="A10" s="8" t="s">
        <v>67</v>
      </c>
      <c r="B10" s="8" t="s">
        <v>72</v>
      </c>
      <c r="C10" s="9">
        <v>2400</v>
      </c>
      <c r="J10" s="16" t="s">
        <v>92</v>
      </c>
    </row>
    <row r="11" spans="1:15">
      <c r="A11" s="8" t="s">
        <v>66</v>
      </c>
      <c r="B11" s="8" t="s">
        <v>73</v>
      </c>
      <c r="C11" s="9">
        <v>8000</v>
      </c>
      <c r="J11" s="36" t="s">
        <v>97</v>
      </c>
      <c r="K11" s="36"/>
      <c r="L11" s="36"/>
      <c r="M11" s="36"/>
      <c r="N11" s="36"/>
      <c r="O11" s="36"/>
    </row>
    <row r="12" spans="1:15">
      <c r="J12" s="6"/>
    </row>
    <row r="13" spans="1:15">
      <c r="J13" s="36" t="s">
        <v>98</v>
      </c>
      <c r="K13" s="36"/>
      <c r="L13" s="36"/>
      <c r="M13" s="36"/>
      <c r="N13" s="36"/>
      <c r="O13" s="36"/>
    </row>
    <row r="16" spans="1:15" ht="18">
      <c r="J16" s="1" t="s">
        <v>99</v>
      </c>
    </row>
    <row r="18" spans="10:10">
      <c r="J18" s="17" t="s">
        <v>100</v>
      </c>
    </row>
    <row r="19" spans="10:10">
      <c r="J19" s="18"/>
    </row>
    <row r="20" spans="10:10">
      <c r="J20" s="19" t="s">
        <v>101</v>
      </c>
    </row>
    <row r="21" spans="10:10">
      <c r="J21" s="19" t="s">
        <v>102</v>
      </c>
    </row>
    <row r="22" spans="10:10">
      <c r="J22" s="19">
        <f>_xlfn.XMATCH("Apple", J2:J10, 0, -1)</f>
        <v>7</v>
      </c>
    </row>
    <row r="23" spans="10:10">
      <c r="J23" s="6"/>
    </row>
    <row r="24" spans="10:10">
      <c r="J24" s="20" t="s">
        <v>103</v>
      </c>
    </row>
    <row r="25" spans="10:10">
      <c r="J25" s="6"/>
    </row>
    <row r="26" spans="10:10">
      <c r="J26" s="20" t="s">
        <v>104</v>
      </c>
    </row>
    <row r="27" spans="10:10">
      <c r="J27" s="6"/>
    </row>
    <row r="28" spans="10:10">
      <c r="J28" s="20" t="s">
        <v>105</v>
      </c>
    </row>
    <row r="29" spans="10:10">
      <c r="J29" s="6"/>
    </row>
    <row r="30" spans="10:10">
      <c r="J30" s="20" t="s">
        <v>106</v>
      </c>
    </row>
    <row r="32" spans="10:10">
      <c r="J32" t="s">
        <v>107</v>
      </c>
    </row>
    <row r="36" spans="10:10" ht="18">
      <c r="J36" s="1" t="s">
        <v>108</v>
      </c>
    </row>
    <row r="38" spans="10:10">
      <c r="J38" t="s">
        <v>109</v>
      </c>
    </row>
    <row r="40" spans="10:10">
      <c r="J40" s="17" t="s">
        <v>100</v>
      </c>
    </row>
    <row r="41" spans="10:10">
      <c r="J41" s="18"/>
    </row>
    <row r="42" spans="10:10">
      <c r="J42" s="19" t="s">
        <v>101</v>
      </c>
    </row>
    <row r="43" spans="10:10">
      <c r="J43" s="19" t="s">
        <v>102</v>
      </c>
    </row>
    <row r="44" spans="10:10">
      <c r="J44" s="19" t="e" cm="1">
        <f t="array" ref="J44">INDEX(A2:A10, _xlfn.XMATCH("Apple", INDEX(A2:A10, _xlfn.SEQUENCE(ROWS(A2:A10),,ROWS(A2:A10),-1))))</f>
        <v>#N/A</v>
      </c>
    </row>
    <row r="45" spans="10:10">
      <c r="J45" s="6"/>
    </row>
    <row r="46" spans="10:10">
      <c r="J46" s="21" t="s">
        <v>110</v>
      </c>
    </row>
    <row r="47" spans="10:10">
      <c r="J47" s="6"/>
    </row>
    <row r="48" spans="10:10">
      <c r="J48" s="21" t="s">
        <v>111</v>
      </c>
    </row>
    <row r="52" spans="10:10" ht="18">
      <c r="J52" s="1" t="s">
        <v>112</v>
      </c>
    </row>
    <row r="54" spans="10:10">
      <c r="J54" t="s">
        <v>113</v>
      </c>
    </row>
    <row r="56" spans="10:10">
      <c r="J56" s="17" t="s">
        <v>100</v>
      </c>
    </row>
    <row r="57" spans="10:10">
      <c r="J57" s="18"/>
    </row>
    <row r="58" spans="10:10">
      <c r="J58" s="19" t="s">
        <v>101</v>
      </c>
    </row>
    <row r="59" spans="10:10">
      <c r="J59" s="19" t="s">
        <v>102</v>
      </c>
    </row>
    <row r="60" spans="10:10">
      <c r="J60" s="19" t="e" cm="1">
        <f t="array" ref="J60">LOOKUP(2,1/(A2:A10="Apple"),ROW(A2:A10))-ROW(A2)+1</f>
        <v>#N/A</v>
      </c>
    </row>
    <row r="61" spans="10:10">
      <c r="J61" s="6"/>
    </row>
    <row r="62" spans="10:10">
      <c r="J62" s="21" t="s">
        <v>114</v>
      </c>
    </row>
    <row r="63" spans="10:10">
      <c r="J63" s="6"/>
    </row>
    <row r="64" spans="10:10">
      <c r="J64" s="21" t="s">
        <v>115</v>
      </c>
    </row>
    <row r="65" spans="10:10">
      <c r="J65" s="6"/>
    </row>
    <row r="66" spans="10:10">
      <c r="J66" s="6" t="s">
        <v>116</v>
      </c>
    </row>
    <row r="70" spans="10:10" ht="18">
      <c r="J70" s="1" t="s">
        <v>117</v>
      </c>
    </row>
    <row r="72" spans="10:10">
      <c r="J72" t="s">
        <v>118</v>
      </c>
    </row>
    <row r="74" spans="10:10">
      <c r="J74" s="17" t="s">
        <v>100</v>
      </c>
    </row>
    <row r="75" spans="10:10">
      <c r="J75" s="18"/>
    </row>
    <row r="76" spans="10:10">
      <c r="J76" s="19" t="s">
        <v>101</v>
      </c>
    </row>
    <row r="77" spans="10:10">
      <c r="J77" s="19" t="s">
        <v>102</v>
      </c>
    </row>
    <row r="78" spans="10:10">
      <c r="J78" s="19" t="e" cm="1">
        <f t="array" ref="J78">INDEX(A2:A10, _xlfn.XMATCH("Apple", INDEX(A2:A10, _xlfn.SEQUENCE(ROWS(A2:A10),,ROWS(A2:A10),-1))))</f>
        <v>#N/A</v>
      </c>
    </row>
    <row r="80" spans="10:10">
      <c r="J80" t="s">
        <v>119</v>
      </c>
    </row>
    <row r="84" spans="10:10" ht="18">
      <c r="J84" s="1" t="s">
        <v>120</v>
      </c>
    </row>
    <row r="86" spans="10:10">
      <c r="J86" t="s">
        <v>121</v>
      </c>
    </row>
    <row r="87" spans="10:10">
      <c r="J87" s="18"/>
    </row>
    <row r="88" spans="10:10">
      <c r="J88" s="19" t="s">
        <v>101</v>
      </c>
    </row>
    <row r="89" spans="10:10">
      <c r="J89" s="19" t="s">
        <v>102</v>
      </c>
    </row>
    <row r="90" spans="10:10">
      <c r="J90" s="19" t="e" cm="1">
        <f t="array" ref="J90">INDEX($A$2:$A$10, COUNTA($A$2:$A$10)+ROW($A$2)-ROW())</f>
        <v>#VALUE!</v>
      </c>
    </row>
    <row r="92" spans="10:10">
      <c r="J92" t="s">
        <v>122</v>
      </c>
    </row>
    <row r="93" spans="10:10">
      <c r="J93" s="18"/>
    </row>
    <row r="94" spans="10:10">
      <c r="J94" s="19" t="s">
        <v>101</v>
      </c>
    </row>
    <row r="95" spans="10:10">
      <c r="J95" s="19" t="s">
        <v>102</v>
      </c>
    </row>
    <row r="96" spans="10:10">
      <c r="J96" s="19" t="e">
        <f>_xlfn.XMATCH("Apple", B2:B10, 0)</f>
        <v>#N/A</v>
      </c>
    </row>
  </sheetData>
  <mergeCells count="2">
    <mergeCell ref="J11:O11"/>
    <mergeCell ref="J13:O13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54AE9-85A6-4F45-B31A-A18EF01C6537}">
  <dimension ref="A1:C9"/>
  <sheetViews>
    <sheetView workbookViewId="0">
      <selection activeCell="D18" sqref="D18"/>
    </sheetView>
  </sheetViews>
  <sheetFormatPr defaultRowHeight="14.4"/>
  <cols>
    <col min="1" max="1" width="13.44140625" customWidth="1"/>
    <col min="2" max="2" width="15" customWidth="1"/>
    <col min="3" max="3" width="14.44140625" customWidth="1"/>
  </cols>
  <sheetData>
    <row r="1" spans="1:3">
      <c r="A1" s="13" t="s">
        <v>75</v>
      </c>
      <c r="B1" s="13" t="s">
        <v>76</v>
      </c>
      <c r="C1" s="13" t="s">
        <v>77</v>
      </c>
    </row>
    <row r="2" spans="1:3">
      <c r="A2" s="10" t="s">
        <v>78</v>
      </c>
      <c r="B2" s="10" t="s">
        <v>85</v>
      </c>
      <c r="C2" s="8" t="str" cm="1">
        <f t="array" ref="C2:C9">IF(ISNA(_xlfn.XMATCH(B2:B9,A2:A9)),"","Match In Data1")</f>
        <v/>
      </c>
    </row>
    <row r="3" spans="1:3">
      <c r="A3" s="10" t="s">
        <v>79</v>
      </c>
      <c r="B3" s="10" t="s">
        <v>86</v>
      </c>
      <c r="C3" s="8" t="str">
        <v/>
      </c>
    </row>
    <row r="4" spans="1:3">
      <c r="A4" s="10" t="s">
        <v>80</v>
      </c>
      <c r="B4" s="10" t="s">
        <v>83</v>
      </c>
      <c r="C4" s="8" t="str">
        <v>Match In Data1</v>
      </c>
    </row>
    <row r="5" spans="1:3">
      <c r="A5" s="10" t="s">
        <v>81</v>
      </c>
      <c r="B5" s="10" t="s">
        <v>87</v>
      </c>
      <c r="C5" s="8" t="str">
        <v/>
      </c>
    </row>
    <row r="6" spans="1:3">
      <c r="A6" s="10" t="s">
        <v>82</v>
      </c>
      <c r="B6" s="10" t="s">
        <v>81</v>
      </c>
      <c r="C6" s="8" t="str">
        <v>Match In Data1</v>
      </c>
    </row>
    <row r="7" spans="1:3">
      <c r="A7" s="10" t="s">
        <v>82</v>
      </c>
      <c r="B7" s="10" t="s">
        <v>88</v>
      </c>
      <c r="C7" s="8" t="str">
        <v/>
      </c>
    </row>
    <row r="8" spans="1:3">
      <c r="A8" s="10" t="s">
        <v>83</v>
      </c>
      <c r="B8" s="10" t="s">
        <v>83</v>
      </c>
      <c r="C8" s="8" t="str">
        <v>Match In Data1</v>
      </c>
    </row>
    <row r="9" spans="1:3">
      <c r="A9" s="10" t="s">
        <v>84</v>
      </c>
      <c r="B9" s="10" t="s">
        <v>89</v>
      </c>
      <c r="C9" s="8" t="str"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C2A5-241B-4E74-B57B-653550092DA9}">
  <dimension ref="A1:B5"/>
  <sheetViews>
    <sheetView workbookViewId="0">
      <selection activeCell="B5" sqref="B5"/>
    </sheetView>
  </sheetViews>
  <sheetFormatPr defaultRowHeight="14.4"/>
  <cols>
    <col min="2" max="2" width="11.5546875" customWidth="1"/>
  </cols>
  <sheetData>
    <row r="1" spans="1:2">
      <c r="A1" t="s">
        <v>55</v>
      </c>
      <c r="B1" t="s">
        <v>123</v>
      </c>
    </row>
    <row r="2" spans="1:2">
      <c r="A2" t="s">
        <v>124</v>
      </c>
      <c r="B2" s="11">
        <v>4942239</v>
      </c>
    </row>
    <row r="3" spans="1:2">
      <c r="A3" t="s">
        <v>57</v>
      </c>
      <c r="B3" s="11">
        <v>2197129</v>
      </c>
    </row>
    <row r="4" spans="1:2">
      <c r="A4" t="s">
        <v>125</v>
      </c>
      <c r="B4" s="11">
        <v>18659333</v>
      </c>
    </row>
    <row r="5" spans="1:2">
      <c r="A5" t="s">
        <v>126</v>
      </c>
      <c r="B5" s="11">
        <v>1712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C235F-84B1-4434-BAC4-132166D3072B}">
  <dimension ref="A1:O154"/>
  <sheetViews>
    <sheetView topLeftCell="A27" zoomScale="40" zoomScaleNormal="40" workbookViewId="0">
      <selection activeCell="G6" sqref="G6"/>
    </sheetView>
  </sheetViews>
  <sheetFormatPr defaultRowHeight="14.4"/>
  <cols>
    <col min="1" max="2" width="27.88671875" customWidth="1"/>
    <col min="3" max="3" width="17.5546875" customWidth="1"/>
    <col min="4" max="4" width="21.33203125" customWidth="1"/>
  </cols>
  <sheetData>
    <row r="1" spans="1:15" ht="87.6" customHeight="1">
      <c r="A1" s="45" t="s">
        <v>187</v>
      </c>
      <c r="B1" s="46"/>
      <c r="C1" s="46"/>
      <c r="D1" s="46"/>
      <c r="E1" s="46"/>
      <c r="F1" s="46"/>
      <c r="G1" s="46"/>
      <c r="H1" s="46"/>
      <c r="I1" s="46"/>
      <c r="J1" s="46"/>
    </row>
    <row r="2" spans="1:15">
      <c r="A2" s="46" t="s">
        <v>127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6" spans="1:15" ht="23.4">
      <c r="A6" s="22" t="s">
        <v>128</v>
      </c>
    </row>
    <row r="8" spans="1:15">
      <c r="A8" s="44" t="s">
        <v>129</v>
      </c>
      <c r="B8" s="44"/>
      <c r="C8" s="44"/>
      <c r="D8" s="44"/>
      <c r="E8" s="44"/>
      <c r="F8" s="44"/>
      <c r="G8" s="44"/>
      <c r="H8" s="44"/>
      <c r="I8" s="44"/>
      <c r="J8" s="44"/>
      <c r="K8" s="44"/>
    </row>
    <row r="12" spans="1:15" ht="18">
      <c r="A12" s="1" t="s">
        <v>130</v>
      </c>
    </row>
    <row r="14" spans="1:15">
      <c r="A14" s="3" t="s">
        <v>131</v>
      </c>
      <c r="B14" s="3" t="s">
        <v>5</v>
      </c>
    </row>
    <row r="15" spans="1:15">
      <c r="A15" s="23" t="s">
        <v>132</v>
      </c>
      <c r="B15" s="4" t="s">
        <v>133</v>
      </c>
    </row>
    <row r="16" spans="1:15" ht="28.8">
      <c r="A16" s="23" t="s">
        <v>134</v>
      </c>
      <c r="B16" s="4" t="s">
        <v>135</v>
      </c>
    </row>
    <row r="17" spans="1:4" ht="28.8">
      <c r="A17" s="23" t="s">
        <v>136</v>
      </c>
      <c r="B17" s="4" t="s">
        <v>137</v>
      </c>
    </row>
    <row r="18" spans="1:4" ht="28.8">
      <c r="A18" s="23" t="s">
        <v>138</v>
      </c>
      <c r="B18" s="4" t="s">
        <v>139</v>
      </c>
    </row>
    <row r="19" spans="1:4" ht="28.8">
      <c r="A19" s="23" t="s">
        <v>140</v>
      </c>
      <c r="B19" s="4" t="s">
        <v>141</v>
      </c>
    </row>
    <row r="20" spans="1:4" ht="28.8">
      <c r="A20" s="23" t="s">
        <v>142</v>
      </c>
      <c r="B20" s="4" t="s">
        <v>143</v>
      </c>
    </row>
    <row r="23" spans="1:4" ht="18">
      <c r="A23" s="41" t="s">
        <v>144</v>
      </c>
      <c r="B23" s="41"/>
      <c r="C23" s="41"/>
      <c r="D23" s="41"/>
    </row>
    <row r="25" spans="1:4">
      <c r="A25" s="3" t="s">
        <v>4</v>
      </c>
      <c r="B25" s="3" t="s">
        <v>5</v>
      </c>
    </row>
    <row r="26" spans="1:4">
      <c r="A26" s="4">
        <v>0</v>
      </c>
      <c r="B26" s="5" t="s">
        <v>6</v>
      </c>
    </row>
    <row r="27" spans="1:4" ht="28.8">
      <c r="A27" s="4">
        <v>-1</v>
      </c>
      <c r="B27" s="4" t="s">
        <v>7</v>
      </c>
    </row>
    <row r="28" spans="1:4">
      <c r="A28" s="4">
        <v>1</v>
      </c>
      <c r="B28" s="4" t="s">
        <v>8</v>
      </c>
    </row>
    <row r="29" spans="1:4">
      <c r="A29" s="4">
        <v>2</v>
      </c>
      <c r="B29" s="5" t="s">
        <v>9</v>
      </c>
    </row>
    <row r="32" spans="1:4" ht="18">
      <c r="A32" s="41" t="s">
        <v>145</v>
      </c>
      <c r="B32" s="41"/>
      <c r="C32" s="41"/>
      <c r="D32" s="41"/>
    </row>
    <row r="34" spans="1:5">
      <c r="A34" s="3" t="s">
        <v>4</v>
      </c>
      <c r="B34" s="3" t="s">
        <v>5</v>
      </c>
    </row>
    <row r="35" spans="1:5">
      <c r="A35" s="4">
        <v>1</v>
      </c>
      <c r="B35" s="5" t="s">
        <v>11</v>
      </c>
    </row>
    <row r="36" spans="1:5">
      <c r="A36" s="4">
        <v>-1</v>
      </c>
      <c r="B36" s="5" t="s">
        <v>12</v>
      </c>
    </row>
    <row r="37" spans="1:5">
      <c r="A37" s="4">
        <v>2</v>
      </c>
      <c r="B37" s="5" t="s">
        <v>13</v>
      </c>
    </row>
    <row r="38" spans="1:5">
      <c r="A38" s="4">
        <v>-2</v>
      </c>
      <c r="B38" s="5" t="s">
        <v>14</v>
      </c>
    </row>
    <row r="41" spans="1:5" ht="23.4">
      <c r="A41" s="22" t="s">
        <v>146</v>
      </c>
    </row>
    <row r="42" spans="1:5">
      <c r="A42" s="6"/>
    </row>
    <row r="43" spans="1:5">
      <c r="A43" s="42" t="s">
        <v>147</v>
      </c>
      <c r="B43" s="42"/>
      <c r="C43" s="42"/>
      <c r="D43" s="42"/>
      <c r="E43" s="42"/>
    </row>
    <row r="44" spans="1:5">
      <c r="A44" s="43"/>
      <c r="B44" s="43"/>
      <c r="C44" s="43"/>
      <c r="D44" s="43"/>
      <c r="E44" s="43"/>
    </row>
    <row r="45" spans="1:5">
      <c r="A45" s="42" t="s">
        <v>148</v>
      </c>
      <c r="B45" s="42"/>
      <c r="C45" s="42"/>
      <c r="D45" s="42"/>
      <c r="E45" s="42"/>
    </row>
    <row r="46" spans="1:5">
      <c r="A46" s="43"/>
      <c r="B46" s="43"/>
      <c r="C46" s="43"/>
      <c r="D46" s="43"/>
      <c r="E46" s="43"/>
    </row>
    <row r="47" spans="1:5">
      <c r="A47" s="42" t="s">
        <v>149</v>
      </c>
      <c r="B47" s="42"/>
      <c r="C47" s="42"/>
      <c r="D47" s="42"/>
      <c r="E47" s="42"/>
    </row>
    <row r="48" spans="1:5">
      <c r="A48" s="43"/>
      <c r="B48" s="43"/>
      <c r="C48" s="43"/>
      <c r="D48" s="43"/>
      <c r="E48" s="43"/>
    </row>
    <row r="49" spans="1:5">
      <c r="A49" s="42" t="s">
        <v>150</v>
      </c>
      <c r="B49" s="42"/>
      <c r="C49" s="42"/>
      <c r="D49" s="42"/>
      <c r="E49" s="42"/>
    </row>
    <row r="50" spans="1:5">
      <c r="A50" s="43"/>
      <c r="B50" s="43"/>
      <c r="C50" s="43"/>
      <c r="D50" s="43"/>
      <c r="E50" s="43"/>
    </row>
    <row r="51" spans="1:5">
      <c r="A51" s="42" t="s">
        <v>151</v>
      </c>
      <c r="B51" s="42"/>
      <c r="C51" s="42"/>
      <c r="D51" s="42"/>
      <c r="E51" s="42"/>
    </row>
    <row r="52" spans="1:5">
      <c r="A52" s="43"/>
      <c r="B52" s="43"/>
      <c r="C52" s="43"/>
      <c r="D52" s="43"/>
      <c r="E52" s="43"/>
    </row>
    <row r="53" spans="1:5">
      <c r="A53" s="42" t="s">
        <v>152</v>
      </c>
      <c r="B53" s="42"/>
      <c r="C53" s="42"/>
      <c r="D53" s="42"/>
      <c r="E53" s="42"/>
    </row>
    <row r="54" spans="1:5">
      <c r="A54" s="43"/>
      <c r="B54" s="43"/>
      <c r="C54" s="43"/>
      <c r="D54" s="43"/>
      <c r="E54" s="43"/>
    </row>
    <row r="55" spans="1:5">
      <c r="A55" s="42" t="s">
        <v>153</v>
      </c>
      <c r="B55" s="42"/>
      <c r="C55" s="42"/>
      <c r="D55" s="42"/>
      <c r="E55" s="42"/>
    </row>
    <row r="56" spans="1:5">
      <c r="A56" s="43"/>
      <c r="B56" s="43"/>
      <c r="C56" s="43"/>
      <c r="D56" s="43"/>
      <c r="E56" s="43"/>
    </row>
    <row r="57" spans="1:5">
      <c r="A57" s="42" t="s">
        <v>154</v>
      </c>
      <c r="B57" s="42"/>
      <c r="C57" s="42"/>
      <c r="D57" s="42"/>
      <c r="E57" s="42"/>
    </row>
    <row r="58" spans="1:5">
      <c r="A58" s="43"/>
      <c r="B58" s="43"/>
      <c r="C58" s="43"/>
      <c r="D58" s="43"/>
      <c r="E58" s="43"/>
    </row>
    <row r="59" spans="1:5">
      <c r="A59" s="42" t="s">
        <v>155</v>
      </c>
      <c r="B59" s="42"/>
      <c r="C59" s="42"/>
      <c r="D59" s="42"/>
      <c r="E59" s="42"/>
    </row>
    <row r="60" spans="1:5">
      <c r="A60" s="43"/>
      <c r="B60" s="43"/>
      <c r="C60" s="43"/>
      <c r="D60" s="43"/>
      <c r="E60" s="43"/>
    </row>
    <row r="61" spans="1:5">
      <c r="A61" s="42" t="s">
        <v>156</v>
      </c>
      <c r="B61" s="42"/>
      <c r="C61" s="42"/>
      <c r="D61" s="42"/>
      <c r="E61" s="42"/>
    </row>
    <row r="65" spans="1:3" ht="23.4">
      <c r="A65" s="40" t="s">
        <v>157</v>
      </c>
      <c r="B65" s="40"/>
      <c r="C65" s="40"/>
    </row>
    <row r="69" spans="1:3" ht="18">
      <c r="A69" s="41" t="s">
        <v>158</v>
      </c>
      <c r="B69" s="41"/>
      <c r="C69" s="41"/>
    </row>
    <row r="70" spans="1:3">
      <c r="A70" s="34"/>
      <c r="B70" s="34"/>
      <c r="C70" s="34"/>
    </row>
    <row r="71" spans="1:3">
      <c r="A71" s="33" t="s">
        <v>159</v>
      </c>
      <c r="B71" s="33"/>
      <c r="C71" s="33"/>
    </row>
    <row r="72" spans="1:3">
      <c r="A72" s="34"/>
      <c r="B72" s="34"/>
      <c r="C72" s="34"/>
    </row>
    <row r="73" spans="1:3">
      <c r="A73" s="37" t="e">
        <f>_xlfn.XLOOKUP("Banana", A2:A6, B2:B6)</f>
        <v>#N/A</v>
      </c>
      <c r="B73" s="37"/>
      <c r="C73" s="37"/>
    </row>
    <row r="74" spans="1:3">
      <c r="A74" s="34"/>
      <c r="B74" s="34"/>
      <c r="C74" s="34"/>
    </row>
    <row r="75" spans="1:3">
      <c r="A75" s="39" t="s">
        <v>160</v>
      </c>
      <c r="B75" s="39"/>
      <c r="C75" s="39"/>
    </row>
    <row r="76" spans="1:3">
      <c r="A76" s="34"/>
      <c r="B76" s="34"/>
      <c r="C76" s="34"/>
    </row>
    <row r="77" spans="1:3">
      <c r="A77" s="34"/>
      <c r="B77" s="34"/>
      <c r="C77" s="34"/>
    </row>
    <row r="78" spans="1:3">
      <c r="A78" s="34"/>
      <c r="B78" s="34"/>
      <c r="C78" s="34"/>
    </row>
    <row r="79" spans="1:3" ht="18">
      <c r="A79" s="38" t="s">
        <v>161</v>
      </c>
      <c r="B79" s="38"/>
      <c r="C79" s="38"/>
    </row>
    <row r="80" spans="1:3">
      <c r="A80" s="34"/>
      <c r="B80" s="34"/>
      <c r="C80" s="34"/>
    </row>
    <row r="81" spans="1:3">
      <c r="A81" s="34" t="s">
        <v>162</v>
      </c>
      <c r="B81" s="34"/>
      <c r="C81" s="34"/>
    </row>
    <row r="82" spans="1:3">
      <c r="A82" s="34"/>
      <c r="B82" s="34"/>
      <c r="C82" s="34"/>
    </row>
    <row r="83" spans="1:3">
      <c r="A83" s="37" t="e">
        <f>_xlfn.XLOOKUP("March", A1:F1, A2:F2)</f>
        <v>#N/A</v>
      </c>
      <c r="B83" s="37"/>
      <c r="C83" s="37"/>
    </row>
    <row r="84" spans="1:3">
      <c r="A84" s="34"/>
      <c r="B84" s="34"/>
      <c r="C84" s="34"/>
    </row>
    <row r="85" spans="1:3">
      <c r="A85" s="39" t="s">
        <v>163</v>
      </c>
      <c r="B85" s="39"/>
      <c r="C85" s="39"/>
    </row>
    <row r="86" spans="1:3">
      <c r="A86" s="34"/>
      <c r="B86" s="34"/>
      <c r="C86" s="34"/>
    </row>
    <row r="87" spans="1:3">
      <c r="A87" s="34"/>
      <c r="B87" s="34"/>
      <c r="C87" s="34"/>
    </row>
    <row r="88" spans="1:3">
      <c r="A88" s="34"/>
      <c r="B88" s="34"/>
      <c r="C88" s="34"/>
    </row>
    <row r="89" spans="1:3" ht="18">
      <c r="A89" s="38" t="s">
        <v>164</v>
      </c>
      <c r="B89" s="38"/>
      <c r="C89" s="38"/>
    </row>
    <row r="90" spans="1:3">
      <c r="A90" s="34"/>
      <c r="B90" s="34"/>
      <c r="C90" s="34"/>
    </row>
    <row r="91" spans="1:3">
      <c r="A91" s="37" t="str">
        <f>_xlfn.XLOOKUP("Grapes", A2:A6, B2:B6, "Item Not Found")</f>
        <v>Item Not Found</v>
      </c>
      <c r="B91" s="37"/>
      <c r="C91" s="37"/>
    </row>
    <row r="92" spans="1:3">
      <c r="A92" s="34"/>
      <c r="B92" s="34"/>
      <c r="C92" s="34"/>
    </row>
    <row r="93" spans="1:3">
      <c r="A93" s="34" t="s">
        <v>165</v>
      </c>
      <c r="B93" s="34"/>
      <c r="C93" s="34"/>
    </row>
    <row r="94" spans="1:3">
      <c r="A94" s="34"/>
      <c r="B94" s="34"/>
      <c r="C94" s="34"/>
    </row>
    <row r="95" spans="1:3">
      <c r="A95" s="34"/>
      <c r="B95" s="34"/>
      <c r="C95" s="34"/>
    </row>
    <row r="96" spans="1:3">
      <c r="A96" s="34"/>
      <c r="B96" s="34"/>
      <c r="C96" s="34"/>
    </row>
    <row r="97" spans="1:3" ht="18">
      <c r="A97" s="38" t="s">
        <v>166</v>
      </c>
      <c r="B97" s="38"/>
      <c r="C97" s="38"/>
    </row>
    <row r="98" spans="1:3">
      <c r="A98" s="34"/>
      <c r="B98" s="34"/>
      <c r="C98" s="34"/>
    </row>
    <row r="99" spans="1:3">
      <c r="A99" s="37" t="e">
        <f>_xlfn.XLOOKUP("Apple", A2:A10, B2:B10, , 0, -1)</f>
        <v>#N/A</v>
      </c>
      <c r="B99" s="37"/>
      <c r="C99" s="37"/>
    </row>
    <row r="100" spans="1:3">
      <c r="A100" s="34"/>
      <c r="B100" s="34"/>
      <c r="C100" s="34"/>
    </row>
    <row r="101" spans="1:3">
      <c r="A101" s="34" t="s">
        <v>167</v>
      </c>
      <c r="B101" s="34"/>
      <c r="C101" s="34"/>
    </row>
    <row r="102" spans="1:3">
      <c r="A102" s="34"/>
      <c r="B102" s="34"/>
      <c r="C102" s="34"/>
    </row>
    <row r="103" spans="1:3">
      <c r="A103" s="34"/>
      <c r="B103" s="34"/>
      <c r="C103" s="34"/>
    </row>
    <row r="104" spans="1:3">
      <c r="A104" s="34"/>
      <c r="B104" s="34"/>
      <c r="C104" s="34"/>
    </row>
    <row r="105" spans="1:3" ht="18">
      <c r="A105" s="38" t="s">
        <v>168</v>
      </c>
      <c r="B105" s="38"/>
      <c r="C105" s="38"/>
    </row>
    <row r="106" spans="1:3">
      <c r="A106" s="34"/>
      <c r="B106" s="34"/>
      <c r="C106" s="34"/>
    </row>
    <row r="107" spans="1:3">
      <c r="A107" s="37" t="str">
        <f>_xlfn.XLOOKUP("App*", A2:A10, B2:B10, "No match", 2)</f>
        <v>No match</v>
      </c>
      <c r="B107" s="37"/>
      <c r="C107" s="37"/>
    </row>
    <row r="108" spans="1:3">
      <c r="A108" s="34"/>
      <c r="B108" s="34"/>
      <c r="C108" s="34"/>
    </row>
    <row r="109" spans="1:3">
      <c r="A109" s="34" t="s">
        <v>169</v>
      </c>
      <c r="B109" s="34"/>
      <c r="C109" s="34"/>
    </row>
    <row r="110" spans="1:3">
      <c r="A110" s="34"/>
      <c r="B110" s="34"/>
      <c r="C110" s="34"/>
    </row>
    <row r="111" spans="1:3">
      <c r="A111" s="34"/>
      <c r="B111" s="34"/>
      <c r="C111" s="34"/>
    </row>
    <row r="112" spans="1:3">
      <c r="A112" s="34"/>
      <c r="B112" s="34"/>
      <c r="C112" s="34"/>
    </row>
    <row r="113" spans="1:3" ht="18">
      <c r="A113" s="38" t="s">
        <v>170</v>
      </c>
      <c r="B113" s="38"/>
      <c r="C113" s="38"/>
    </row>
    <row r="114" spans="1:3">
      <c r="A114" s="34"/>
      <c r="B114" s="34"/>
      <c r="C114" s="34"/>
    </row>
    <row r="115" spans="1:3">
      <c r="A115" s="37" t="e" cm="1">
        <f t="array" ref="A115">_xlfn.XLOOKUP("Banana", A2:A6, B2:D6)</f>
        <v>#N/A</v>
      </c>
      <c r="B115" s="37"/>
      <c r="C115" s="37"/>
    </row>
    <row r="116" spans="1:3">
      <c r="A116" s="34"/>
      <c r="B116" s="34"/>
      <c r="C116" s="34"/>
    </row>
    <row r="117" spans="1:3">
      <c r="A117" s="34" t="s">
        <v>171</v>
      </c>
      <c r="B117" s="34"/>
      <c r="C117" s="34"/>
    </row>
    <row r="118" spans="1:3">
      <c r="A118" s="34"/>
      <c r="B118" s="34"/>
      <c r="C118" s="34"/>
    </row>
    <row r="119" spans="1:3">
      <c r="A119" s="34"/>
      <c r="B119" s="34"/>
      <c r="C119" s="34"/>
    </row>
    <row r="120" spans="1:3">
      <c r="A120" s="34"/>
      <c r="B120" s="34"/>
      <c r="C120" s="34"/>
    </row>
    <row r="121" spans="1:3" ht="18">
      <c r="A121" s="38" t="s">
        <v>172</v>
      </c>
      <c r="B121" s="38"/>
      <c r="C121" s="38"/>
    </row>
    <row r="122" spans="1:3">
      <c r="A122" s="34"/>
      <c r="B122" s="34"/>
      <c r="C122" s="34"/>
    </row>
    <row r="123" spans="1:3">
      <c r="A123" s="37" t="str">
        <f>_xlfn.XLOOKUP(85, A2:A6, B2:B6, "No match", -1)</f>
        <v>No match</v>
      </c>
      <c r="B123" s="37"/>
      <c r="C123" s="37"/>
    </row>
    <row r="124" spans="1:3">
      <c r="A124" s="34"/>
      <c r="B124" s="34"/>
      <c r="C124" s="34"/>
    </row>
    <row r="125" spans="1:3">
      <c r="A125" s="34" t="s">
        <v>173</v>
      </c>
      <c r="B125" s="34"/>
      <c r="C125" s="34"/>
    </row>
    <row r="126" spans="1:3">
      <c r="A126" s="34"/>
      <c r="B126" s="34"/>
      <c r="C126" s="34"/>
    </row>
    <row r="127" spans="1:3">
      <c r="A127" s="34"/>
      <c r="B127" s="34"/>
      <c r="C127" s="34"/>
    </row>
    <row r="128" spans="1:3">
      <c r="A128" s="34"/>
      <c r="B128" s="34"/>
      <c r="C128" s="34"/>
    </row>
    <row r="129" spans="1:3" ht="18">
      <c r="A129" s="38" t="s">
        <v>174</v>
      </c>
      <c r="B129" s="38"/>
      <c r="C129" s="38"/>
    </row>
    <row r="130" spans="1:3">
      <c r="A130" s="34"/>
      <c r="B130" s="34"/>
      <c r="C130" s="34"/>
    </row>
    <row r="131" spans="1:3">
      <c r="A131" s="37" t="e">
        <f>_xlfn.XLOOKUP("Pen", C2:C6, A2:A6)</f>
        <v>#N/A</v>
      </c>
      <c r="B131" s="37"/>
      <c r="C131" s="37"/>
    </row>
    <row r="132" spans="1:3">
      <c r="A132" s="34"/>
      <c r="B132" s="34"/>
      <c r="C132" s="34"/>
    </row>
    <row r="133" spans="1:3">
      <c r="A133" s="34" t="s">
        <v>175</v>
      </c>
      <c r="B133" s="34"/>
      <c r="C133" s="34"/>
    </row>
    <row r="134" spans="1:3">
      <c r="A134" s="34"/>
      <c r="B134" s="34"/>
      <c r="C134" s="34"/>
    </row>
    <row r="135" spans="1:3">
      <c r="A135" s="34"/>
      <c r="B135" s="34"/>
      <c r="C135" s="34"/>
    </row>
    <row r="136" spans="1:3">
      <c r="A136" s="34"/>
      <c r="B136" s="34"/>
      <c r="C136" s="34"/>
    </row>
    <row r="137" spans="1:3" ht="18">
      <c r="A137" s="38" t="s">
        <v>176</v>
      </c>
      <c r="B137" s="38"/>
      <c r="C137" s="38"/>
    </row>
    <row r="138" spans="1:3">
      <c r="A138" s="34"/>
      <c r="B138" s="34"/>
      <c r="C138" s="34"/>
    </row>
    <row r="139" spans="1:3">
      <c r="A139" s="37" t="str">
        <f>_xlfn.XLOOKUP(5000, A2:A100000, B2:B100000, "Not Found", 0, 2)</f>
        <v>Not Found</v>
      </c>
      <c r="B139" s="37"/>
      <c r="C139" s="37"/>
    </row>
    <row r="140" spans="1:3">
      <c r="A140" s="34"/>
      <c r="B140" s="34"/>
      <c r="C140" s="34"/>
    </row>
    <row r="141" spans="1:3">
      <c r="A141" s="34" t="s">
        <v>177</v>
      </c>
      <c r="B141" s="34"/>
      <c r="C141" s="34"/>
    </row>
    <row r="142" spans="1:3">
      <c r="A142" s="34"/>
      <c r="B142" s="34"/>
      <c r="C142" s="34"/>
    </row>
    <row r="145" spans="1:4" ht="23.4">
      <c r="A145" s="22" t="s">
        <v>178</v>
      </c>
    </row>
    <row r="147" spans="1:4">
      <c r="A147" s="3" t="s">
        <v>25</v>
      </c>
      <c r="B147" s="3" t="s">
        <v>179</v>
      </c>
      <c r="C147" s="3" t="s">
        <v>180</v>
      </c>
      <c r="D147" s="3" t="s">
        <v>181</v>
      </c>
    </row>
    <row r="148" spans="1:4">
      <c r="A148" s="4" t="s">
        <v>182</v>
      </c>
      <c r="B148" s="4" t="s">
        <v>32</v>
      </c>
      <c r="C148" s="4" t="s">
        <v>29</v>
      </c>
      <c r="D148" s="4" t="s">
        <v>29</v>
      </c>
    </row>
    <row r="149" spans="1:4">
      <c r="A149" s="4" t="s">
        <v>183</v>
      </c>
      <c r="B149" s="4" t="s">
        <v>32</v>
      </c>
      <c r="C149" s="4" t="s">
        <v>29</v>
      </c>
      <c r="D149" s="4" t="s">
        <v>29</v>
      </c>
    </row>
    <row r="150" spans="1:4">
      <c r="A150" s="4" t="s">
        <v>33</v>
      </c>
      <c r="B150" s="4" t="s">
        <v>32</v>
      </c>
      <c r="C150" s="4" t="s">
        <v>32</v>
      </c>
      <c r="D150" s="4" t="s">
        <v>29</v>
      </c>
    </row>
    <row r="151" spans="1:4">
      <c r="A151" s="4" t="s">
        <v>31</v>
      </c>
      <c r="B151" s="4" t="s">
        <v>29</v>
      </c>
      <c r="C151" s="4" t="s">
        <v>29</v>
      </c>
      <c r="D151" s="4" t="s">
        <v>29</v>
      </c>
    </row>
    <row r="152" spans="1:4">
      <c r="A152" s="4" t="s">
        <v>184</v>
      </c>
      <c r="B152" s="4" t="s">
        <v>32</v>
      </c>
      <c r="C152" s="4" t="s">
        <v>32</v>
      </c>
      <c r="D152" s="4" t="s">
        <v>29</v>
      </c>
    </row>
    <row r="153" spans="1:4">
      <c r="A153" s="4" t="s">
        <v>185</v>
      </c>
      <c r="B153" s="4" t="s">
        <v>32</v>
      </c>
      <c r="C153" s="4" t="s">
        <v>32</v>
      </c>
      <c r="D153" s="4" t="s">
        <v>29</v>
      </c>
    </row>
    <row r="154" spans="1:4">
      <c r="A154" s="4" t="s">
        <v>186</v>
      </c>
      <c r="B154" s="4" t="s">
        <v>32</v>
      </c>
      <c r="C154" s="4" t="s">
        <v>32</v>
      </c>
      <c r="D154" s="4" t="s">
        <v>29</v>
      </c>
    </row>
  </sheetData>
  <mergeCells count="99">
    <mergeCell ref="A49:E49"/>
    <mergeCell ref="A8:K8"/>
    <mergeCell ref="A1:J1"/>
    <mergeCell ref="A2:O2"/>
    <mergeCell ref="A23:D23"/>
    <mergeCell ref="A32:D32"/>
    <mergeCell ref="A43:E43"/>
    <mergeCell ref="A44:E44"/>
    <mergeCell ref="A45:E45"/>
    <mergeCell ref="A46:E46"/>
    <mergeCell ref="A47:E47"/>
    <mergeCell ref="A48:E48"/>
    <mergeCell ref="A61:E61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5:C65"/>
    <mergeCell ref="A69:C69"/>
    <mergeCell ref="A70:C70"/>
    <mergeCell ref="A71:C71"/>
    <mergeCell ref="A72:C72"/>
    <mergeCell ref="A84:C84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96:C96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108:C108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20:C120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32:C132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9:C139"/>
    <mergeCell ref="A140:C140"/>
    <mergeCell ref="A141:C141"/>
    <mergeCell ref="A142:C142"/>
    <mergeCell ref="A133:C133"/>
    <mergeCell ref="A134:C134"/>
    <mergeCell ref="A135:C135"/>
    <mergeCell ref="A136:C136"/>
    <mergeCell ref="A137:C137"/>
    <mergeCell ref="A138:C1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0AAF-95DB-45C0-80B0-EC11152F924D}">
  <dimension ref="A2:E11"/>
  <sheetViews>
    <sheetView workbookViewId="0">
      <selection activeCell="E30" sqref="E30"/>
    </sheetView>
  </sheetViews>
  <sheetFormatPr defaultRowHeight="14.4"/>
  <cols>
    <col min="1" max="3" width="12.5546875" customWidth="1"/>
    <col min="4" max="4" width="17.21875" customWidth="1"/>
    <col min="5" max="5" width="12.5546875" customWidth="1"/>
  </cols>
  <sheetData>
    <row r="2" spans="1:5" ht="18">
      <c r="A2" s="25" t="s">
        <v>188</v>
      </c>
      <c r="B2" s="25" t="s">
        <v>189</v>
      </c>
      <c r="C2" s="25" t="s">
        <v>190</v>
      </c>
      <c r="D2" s="25" t="s">
        <v>191</v>
      </c>
      <c r="E2" s="25" t="s">
        <v>192</v>
      </c>
    </row>
    <row r="3" spans="1:5">
      <c r="A3" s="24">
        <v>101</v>
      </c>
      <c r="B3" s="24" t="s">
        <v>193</v>
      </c>
      <c r="C3" s="24" t="s">
        <v>198</v>
      </c>
      <c r="D3" s="24" t="s">
        <v>203</v>
      </c>
      <c r="E3" s="24">
        <v>50000</v>
      </c>
    </row>
    <row r="4" spans="1:5">
      <c r="A4" s="24">
        <v>102</v>
      </c>
      <c r="B4" s="24" t="s">
        <v>194</v>
      </c>
      <c r="C4" s="24" t="s">
        <v>199</v>
      </c>
      <c r="D4" s="24" t="s">
        <v>204</v>
      </c>
      <c r="E4" s="24">
        <v>40000</v>
      </c>
    </row>
    <row r="5" spans="1:5">
      <c r="A5" s="24">
        <v>103</v>
      </c>
      <c r="B5" s="24" t="s">
        <v>195</v>
      </c>
      <c r="C5" s="24" t="s">
        <v>200</v>
      </c>
      <c r="D5" s="24" t="s">
        <v>205</v>
      </c>
      <c r="E5" s="24">
        <v>30000</v>
      </c>
    </row>
    <row r="6" spans="1:5">
      <c r="A6" s="24">
        <v>104</v>
      </c>
      <c r="B6" s="24" t="s">
        <v>196</v>
      </c>
      <c r="C6" s="24" t="s">
        <v>201</v>
      </c>
      <c r="D6" s="24" t="s">
        <v>203</v>
      </c>
      <c r="E6" s="24">
        <v>20000</v>
      </c>
    </row>
    <row r="7" spans="1:5">
      <c r="A7" s="24">
        <v>105</v>
      </c>
      <c r="B7" s="24" t="s">
        <v>197</v>
      </c>
      <c r="C7" s="24" t="s">
        <v>202</v>
      </c>
      <c r="D7" s="24" t="s">
        <v>204</v>
      </c>
      <c r="E7" s="24">
        <v>10000</v>
      </c>
    </row>
    <row r="10" spans="1:5" ht="18">
      <c r="A10" s="25" t="s">
        <v>188</v>
      </c>
      <c r="B10" s="25" t="s">
        <v>189</v>
      </c>
      <c r="C10" s="25" t="s">
        <v>190</v>
      </c>
      <c r="D10" s="25" t="s">
        <v>191</v>
      </c>
      <c r="E10" s="25" t="s">
        <v>192</v>
      </c>
    </row>
    <row r="11" spans="1:5">
      <c r="A11">
        <v>101</v>
      </c>
      <c r="B11" t="str" cm="1">
        <f t="array" ref="B11:E11">_xlfn.XLOOKUP(A11,A3:A7,B3:E7)</f>
        <v>Kimi</v>
      </c>
      <c r="C11" t="str">
        <v>Delhi</v>
      </c>
      <c r="D11" t="str">
        <v>IT</v>
      </c>
      <c r="E11">
        <v>50000</v>
      </c>
    </row>
  </sheetData>
  <dataValidations count="1">
    <dataValidation type="list" allowBlank="1" showInputMessage="1" showErrorMessage="1" sqref="A11" xr:uid="{684734D3-90B7-4303-B48F-2DB6D65CDB96}">
      <formula1>$A$3:$A$7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5BF8-FECC-4C16-AA91-6218C2814A6D}">
  <dimension ref="A11:H69"/>
  <sheetViews>
    <sheetView topLeftCell="A47" workbookViewId="0">
      <selection activeCell="E67" sqref="E67"/>
    </sheetView>
  </sheetViews>
  <sheetFormatPr defaultRowHeight="14.4"/>
  <cols>
    <col min="1" max="1" width="16.44140625" customWidth="1"/>
    <col min="2" max="2" width="16.21875" customWidth="1"/>
    <col min="3" max="3" width="18.109375" customWidth="1"/>
    <col min="5" max="5" width="10.21875" customWidth="1"/>
    <col min="6" max="6" width="12.6640625" customWidth="1"/>
  </cols>
  <sheetData>
    <row r="11" spans="1:8" ht="21">
      <c r="A11" s="51" t="s">
        <v>216</v>
      </c>
      <c r="B11" s="51"/>
      <c r="C11" s="51"/>
      <c r="D11" s="51"/>
      <c r="E11" s="51"/>
      <c r="F11" s="51"/>
      <c r="G11" s="51"/>
      <c r="H11" s="51"/>
    </row>
    <row r="13" spans="1:8">
      <c r="A13" s="26" t="s">
        <v>189</v>
      </c>
      <c r="B13" s="26" t="s">
        <v>206</v>
      </c>
      <c r="C13" s="26" t="s">
        <v>207</v>
      </c>
      <c r="E13" s="26" t="s">
        <v>189</v>
      </c>
      <c r="F13" s="26" t="s">
        <v>206</v>
      </c>
      <c r="G13" s="26" t="s">
        <v>207</v>
      </c>
    </row>
    <row r="14" spans="1:8">
      <c r="A14" s="8" t="s">
        <v>208</v>
      </c>
      <c r="B14" s="8">
        <v>70</v>
      </c>
      <c r="C14" s="8">
        <v>80</v>
      </c>
      <c r="F14" cm="1">
        <f t="array" ref="F14:G14">_xlfn.XLOOKUP(A14,A14:A18,B14:C18)</f>
        <v>70</v>
      </c>
      <c r="G14">
        <v>80</v>
      </c>
    </row>
    <row r="15" spans="1:8">
      <c r="A15" s="8" t="s">
        <v>209</v>
      </c>
      <c r="B15" s="8">
        <v>100</v>
      </c>
      <c r="C15" s="8">
        <v>90</v>
      </c>
    </row>
    <row r="16" spans="1:8">
      <c r="A16" s="8" t="s">
        <v>210</v>
      </c>
      <c r="B16" s="8">
        <v>80</v>
      </c>
      <c r="C16" s="8">
        <v>78</v>
      </c>
    </row>
    <row r="17" spans="1:8">
      <c r="A17" s="8" t="s">
        <v>211</v>
      </c>
      <c r="B17" s="8">
        <v>60</v>
      </c>
      <c r="C17" s="8">
        <v>77</v>
      </c>
    </row>
    <row r="18" spans="1:8">
      <c r="A18" s="8" t="s">
        <v>212</v>
      </c>
      <c r="B18" s="8">
        <v>50</v>
      </c>
      <c r="C18" s="8">
        <v>90</v>
      </c>
    </row>
    <row r="20" spans="1:8" ht="21">
      <c r="A20" s="48" t="s">
        <v>213</v>
      </c>
      <c r="B20" s="48"/>
      <c r="C20" s="48"/>
      <c r="D20" s="48"/>
      <c r="E20" s="48"/>
      <c r="F20" s="48"/>
      <c r="G20" s="48"/>
      <c r="H20" s="48"/>
    </row>
    <row r="21" spans="1:8">
      <c r="E21" t="s">
        <v>217</v>
      </c>
    </row>
    <row r="22" spans="1:8">
      <c r="A22" s="26" t="s">
        <v>189</v>
      </c>
      <c r="B22" s="26" t="s">
        <v>206</v>
      </c>
      <c r="C22" s="26" t="s">
        <v>207</v>
      </c>
      <c r="E22" s="26" t="s">
        <v>189</v>
      </c>
      <c r="F22" s="26" t="s">
        <v>206</v>
      </c>
      <c r="G22" s="26" t="s">
        <v>207</v>
      </c>
    </row>
    <row r="23" spans="1:8">
      <c r="A23" s="8" t="s">
        <v>208</v>
      </c>
      <c r="B23" s="8">
        <v>70</v>
      </c>
      <c r="C23" s="8">
        <v>80</v>
      </c>
      <c r="E23" t="s">
        <v>208</v>
      </c>
      <c r="F23" cm="1">
        <f t="array" ref="F23:G23">_xlfn.XLOOKUP(E23,A23:A27,B23:C27)</f>
        <v>70</v>
      </c>
      <c r="G23">
        <v>80</v>
      </c>
    </row>
    <row r="24" spans="1:8">
      <c r="A24" s="8" t="s">
        <v>209</v>
      </c>
      <c r="B24" s="8">
        <v>100</v>
      </c>
      <c r="C24" s="8">
        <v>90</v>
      </c>
    </row>
    <row r="25" spans="1:8">
      <c r="A25" s="8" t="s">
        <v>210</v>
      </c>
      <c r="B25" s="8">
        <v>80</v>
      </c>
      <c r="C25" s="8">
        <v>78</v>
      </c>
    </row>
    <row r="26" spans="1:8">
      <c r="A26" s="8" t="s">
        <v>211</v>
      </c>
      <c r="B26" s="8">
        <v>60</v>
      </c>
      <c r="C26" s="8">
        <v>77</v>
      </c>
    </row>
    <row r="27" spans="1:8">
      <c r="A27" s="8" t="s">
        <v>212</v>
      </c>
      <c r="B27" s="8">
        <v>50</v>
      </c>
      <c r="C27" s="8">
        <v>90</v>
      </c>
    </row>
    <row r="30" spans="1:8" ht="21">
      <c r="A30" s="49" t="s">
        <v>214</v>
      </c>
      <c r="B30" s="49"/>
      <c r="C30" s="49"/>
      <c r="D30" s="49"/>
      <c r="E30" s="49"/>
      <c r="F30" s="49"/>
      <c r="G30" s="49"/>
      <c r="H30" s="49"/>
    </row>
    <row r="31" spans="1:8">
      <c r="A31" s="28" t="s">
        <v>189</v>
      </c>
      <c r="B31" s="28" t="s">
        <v>206</v>
      </c>
      <c r="C31" s="28" t="s">
        <v>207</v>
      </c>
      <c r="E31" s="28" t="s">
        <v>189</v>
      </c>
      <c r="F31" s="28" t="s">
        <v>206</v>
      </c>
      <c r="G31" s="28" t="s">
        <v>207</v>
      </c>
    </row>
    <row r="32" spans="1:8">
      <c r="A32" s="8" t="s">
        <v>208</v>
      </c>
      <c r="B32" s="8">
        <v>70</v>
      </c>
      <c r="C32" s="8">
        <v>80</v>
      </c>
      <c r="E32" t="s">
        <v>208</v>
      </c>
      <c r="F32" cm="1">
        <f t="array" ref="F32">_xlfn.XLOOKUP(F22,B22:C22,_xlfn.XLOOKUP(E32,A23:A27,B23:C27))</f>
        <v>70</v>
      </c>
    </row>
    <row r="33" spans="1:8">
      <c r="A33" s="8" t="s">
        <v>209</v>
      </c>
      <c r="B33" s="8">
        <v>100</v>
      </c>
      <c r="C33" s="8">
        <v>90</v>
      </c>
    </row>
    <row r="34" spans="1:8">
      <c r="A34" s="8" t="s">
        <v>210</v>
      </c>
      <c r="B34" s="8">
        <v>80</v>
      </c>
      <c r="C34" s="8">
        <v>78</v>
      </c>
    </row>
    <row r="35" spans="1:8">
      <c r="A35" s="8" t="s">
        <v>211</v>
      </c>
      <c r="B35" s="8">
        <v>60</v>
      </c>
      <c r="C35" s="8">
        <v>77</v>
      </c>
    </row>
    <row r="36" spans="1:8">
      <c r="A36" s="8" t="s">
        <v>212</v>
      </c>
      <c r="B36" s="8">
        <v>50</v>
      </c>
      <c r="C36" s="8">
        <v>90</v>
      </c>
    </row>
    <row r="40" spans="1:8" ht="21">
      <c r="A40" s="50" t="s">
        <v>215</v>
      </c>
      <c r="B40" s="50"/>
      <c r="C40" s="50"/>
      <c r="D40" s="50"/>
      <c r="E40" s="50"/>
      <c r="F40" s="50"/>
      <c r="G40" s="50"/>
      <c r="H40" s="50"/>
    </row>
    <row r="41" spans="1:8">
      <c r="A41" s="28" t="s">
        <v>189</v>
      </c>
      <c r="B41" s="28" t="s">
        <v>206</v>
      </c>
      <c r="C41" s="28" t="s">
        <v>207</v>
      </c>
      <c r="E41" s="28" t="s">
        <v>189</v>
      </c>
      <c r="F41" s="28" t="s">
        <v>206</v>
      </c>
      <c r="G41" s="28" t="s">
        <v>207</v>
      </c>
    </row>
    <row r="42" spans="1:8">
      <c r="A42" s="8" t="s">
        <v>208</v>
      </c>
      <c r="B42" s="8">
        <v>70</v>
      </c>
      <c r="C42" s="8">
        <v>80</v>
      </c>
      <c r="E42" t="s">
        <v>218</v>
      </c>
      <c r="F42" t="str" cm="1">
        <f t="array" ref="F42">_xlfn.XLOOKUP(E42,A42:A46,B42:C46,"Not Found")</f>
        <v>Not Found</v>
      </c>
    </row>
    <row r="43" spans="1:8">
      <c r="A43" s="8" t="s">
        <v>209</v>
      </c>
      <c r="B43" s="8">
        <v>100</v>
      </c>
      <c r="C43" s="8">
        <v>90</v>
      </c>
    </row>
    <row r="44" spans="1:8">
      <c r="A44" s="8" t="s">
        <v>210</v>
      </c>
      <c r="B44" s="8">
        <v>80</v>
      </c>
      <c r="C44" s="8">
        <v>78</v>
      </c>
    </row>
    <row r="45" spans="1:8">
      <c r="A45" s="8" t="s">
        <v>211</v>
      </c>
      <c r="B45" s="8">
        <v>60</v>
      </c>
      <c r="C45" s="8">
        <v>77</v>
      </c>
    </row>
    <row r="46" spans="1:8">
      <c r="A46" s="8" t="s">
        <v>212</v>
      </c>
      <c r="B46" s="8">
        <v>50</v>
      </c>
      <c r="C46" s="8">
        <v>90</v>
      </c>
    </row>
    <row r="49" spans="1:8" ht="21">
      <c r="A49" s="52" t="s">
        <v>219</v>
      </c>
      <c r="B49" s="52"/>
      <c r="C49" s="52"/>
      <c r="D49" s="52"/>
      <c r="E49" s="52"/>
      <c r="F49" s="52"/>
      <c r="G49" s="52"/>
      <c r="H49" s="52"/>
    </row>
    <row r="50" spans="1:8">
      <c r="A50" s="28" t="s">
        <v>189</v>
      </c>
      <c r="B50" s="28" t="s">
        <v>206</v>
      </c>
      <c r="C50" s="28" t="s">
        <v>207</v>
      </c>
      <c r="E50" s="27" t="s">
        <v>220</v>
      </c>
      <c r="F50" s="27" t="s">
        <v>221</v>
      </c>
      <c r="G50" s="27" t="s">
        <v>222</v>
      </c>
    </row>
    <row r="51" spans="1:8">
      <c r="A51" s="8" t="s">
        <v>208</v>
      </c>
      <c r="B51" s="8">
        <v>70</v>
      </c>
      <c r="C51" s="8">
        <v>80</v>
      </c>
      <c r="E51" t="s">
        <v>208</v>
      </c>
      <c r="F51" t="s">
        <v>211</v>
      </c>
      <c r="G51">
        <f>SUM(_xlfn.XLOOKUP(E51,A51:A55,B51:B55):_xlfn.XLOOKUP(F51,A51:A55,B51:B55))</f>
        <v>310</v>
      </c>
    </row>
    <row r="52" spans="1:8">
      <c r="A52" s="8" t="s">
        <v>209</v>
      </c>
      <c r="B52" s="8">
        <v>100</v>
      </c>
      <c r="C52" s="8">
        <v>90</v>
      </c>
    </row>
    <row r="53" spans="1:8">
      <c r="A53" s="8" t="s">
        <v>210</v>
      </c>
      <c r="B53" s="8">
        <v>80</v>
      </c>
      <c r="C53" s="8">
        <v>78</v>
      </c>
    </row>
    <row r="54" spans="1:8">
      <c r="A54" s="8" t="s">
        <v>211</v>
      </c>
      <c r="B54" s="8">
        <v>60</v>
      </c>
      <c r="C54" s="8">
        <v>77</v>
      </c>
    </row>
    <row r="55" spans="1:8">
      <c r="A55" s="8" t="s">
        <v>212</v>
      </c>
      <c r="B55" s="8">
        <v>50</v>
      </c>
      <c r="C55" s="8">
        <v>90</v>
      </c>
    </row>
    <row r="58" spans="1:8" ht="21">
      <c r="A58" s="47" t="s">
        <v>223</v>
      </c>
      <c r="B58" s="47"/>
      <c r="C58" s="47"/>
      <c r="D58" s="47"/>
      <c r="E58" s="47"/>
      <c r="F58" s="47"/>
      <c r="G58" s="47"/>
      <c r="H58" s="47"/>
    </row>
    <row r="59" spans="1:8">
      <c r="A59" s="28" t="s">
        <v>189</v>
      </c>
      <c r="B59" s="29" t="s">
        <v>208</v>
      </c>
      <c r="C59" s="29" t="s">
        <v>209</v>
      </c>
      <c r="D59" s="29" t="s">
        <v>210</v>
      </c>
      <c r="E59" s="29" t="s">
        <v>211</v>
      </c>
      <c r="F59" s="29" t="s">
        <v>212</v>
      </c>
    </row>
    <row r="60" spans="1:8">
      <c r="A60" s="26" t="s">
        <v>206</v>
      </c>
      <c r="B60" s="8">
        <v>70</v>
      </c>
      <c r="C60" s="8">
        <v>100</v>
      </c>
      <c r="D60" s="8">
        <v>80</v>
      </c>
      <c r="E60" s="8">
        <v>60</v>
      </c>
      <c r="F60" s="8">
        <v>50</v>
      </c>
    </row>
    <row r="61" spans="1:8">
      <c r="A61" s="26" t="s">
        <v>207</v>
      </c>
      <c r="B61" s="8">
        <v>80</v>
      </c>
      <c r="C61" s="8">
        <v>90</v>
      </c>
      <c r="D61" s="8">
        <v>78</v>
      </c>
      <c r="E61" s="8">
        <v>77</v>
      </c>
      <c r="F61" s="8">
        <v>90</v>
      </c>
    </row>
    <row r="63" spans="1:8">
      <c r="A63" s="28" t="s">
        <v>189</v>
      </c>
      <c r="B63" t="s">
        <v>209</v>
      </c>
      <c r="C63" t="s">
        <v>209</v>
      </c>
    </row>
    <row r="64" spans="1:8">
      <c r="A64" s="26" t="s">
        <v>206</v>
      </c>
      <c r="B64">
        <f>_xlfn.XLOOKUP($B$63,$B$59:$F$59,$B$61:$F$61)</f>
        <v>90</v>
      </c>
    </row>
    <row r="65" spans="1:4">
      <c r="A65" s="26" t="s">
        <v>207</v>
      </c>
      <c r="B65">
        <f>_xlfn.XLOOKUP($B$63,$B$59:$F$59,$B$61:$F$61)</f>
        <v>90</v>
      </c>
    </row>
    <row r="67" spans="1:4">
      <c r="B67" t="str" cm="1">
        <f t="array" ref="B67:B69">_xlfn.XLOOKUP(B59,B59:F59,B59:F61)</f>
        <v>Harry</v>
      </c>
      <c r="C67" t="str" cm="1">
        <f t="array" ref="C67:C69">_xlfn.XLOOKUP(C59,C59:G59,C59:G61)</f>
        <v>Carry</v>
      </c>
      <c r="D67" t="str" cm="1">
        <f t="array" ref="D67:D69">_xlfn.XLOOKUP(D59,D59:H59,D59:H61)</f>
        <v>Marry</v>
      </c>
    </row>
    <row r="68" spans="1:4">
      <c r="A68" s="30" t="s">
        <v>224</v>
      </c>
      <c r="B68">
        <v>70</v>
      </c>
      <c r="C68">
        <v>100</v>
      </c>
      <c r="D68">
        <v>80</v>
      </c>
    </row>
    <row r="69" spans="1:4">
      <c r="A69" s="30"/>
      <c r="B69">
        <v>80</v>
      </c>
      <c r="C69">
        <v>90</v>
      </c>
      <c r="D69">
        <v>78</v>
      </c>
    </row>
  </sheetData>
  <mergeCells count="6">
    <mergeCell ref="A58:H58"/>
    <mergeCell ref="A20:H20"/>
    <mergeCell ref="A30:H30"/>
    <mergeCell ref="A40:H40"/>
    <mergeCell ref="A11:H11"/>
    <mergeCell ref="A49:H49"/>
  </mergeCells>
  <dataValidations count="2">
    <dataValidation type="list" allowBlank="1" showInputMessage="1" showErrorMessage="1" sqref="E32 E23" xr:uid="{88BF0707-26A4-4C10-809B-EB710502168C}">
      <formula1>$A$23:$A$27</formula1>
    </dataValidation>
    <dataValidation type="list" allowBlank="1" showInputMessage="1" showErrorMessage="1" sqref="B63:C63" xr:uid="{05D1A1A1-C323-4F9E-A8AF-7288237E65B4}">
      <formula1>$B$59:$F$59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A340-5D4A-49FB-8E42-8D568D5C8F91}">
  <dimension ref="F1:I12"/>
  <sheetViews>
    <sheetView workbookViewId="0">
      <selection sqref="A1:C13"/>
    </sheetView>
  </sheetViews>
  <sheetFormatPr defaultRowHeight="14.4"/>
  <cols>
    <col min="1" max="1" width="21.109375" customWidth="1"/>
    <col min="2" max="2" width="11.6640625" customWidth="1"/>
    <col min="3" max="3" width="11.88671875" customWidth="1"/>
    <col min="6" max="6" width="15.88671875" customWidth="1"/>
  </cols>
  <sheetData>
    <row r="1" spans="6:9" ht="21">
      <c r="F1" s="32" t="s">
        <v>231</v>
      </c>
      <c r="G1" s="32" t="s">
        <v>232</v>
      </c>
      <c r="H1" s="32" t="s">
        <v>233</v>
      </c>
      <c r="I1" s="32" t="s">
        <v>234</v>
      </c>
    </row>
    <row r="2" spans="6:9">
      <c r="F2" t="s">
        <v>235</v>
      </c>
      <c r="G2">
        <v>12000</v>
      </c>
      <c r="H2">
        <v>12000</v>
      </c>
      <c r="I2">
        <v>12000</v>
      </c>
    </row>
    <row r="3" spans="6:9">
      <c r="F3" t="s">
        <v>236</v>
      </c>
      <c r="G3">
        <v>3000</v>
      </c>
      <c r="H3">
        <v>2800</v>
      </c>
      <c r="I3">
        <v>2900</v>
      </c>
    </row>
    <row r="4" spans="6:9">
      <c r="F4" t="s">
        <v>237</v>
      </c>
      <c r="G4">
        <v>5000</v>
      </c>
      <c r="H4">
        <v>5200</v>
      </c>
      <c r="I4">
        <v>5100</v>
      </c>
    </row>
    <row r="5" spans="6:9">
      <c r="F5" t="s">
        <v>238</v>
      </c>
      <c r="G5">
        <v>1000</v>
      </c>
      <c r="H5">
        <v>1000</v>
      </c>
    </row>
    <row r="6" spans="6:9">
      <c r="F6" t="s">
        <v>235</v>
      </c>
      <c r="G6">
        <v>2000</v>
      </c>
      <c r="H6">
        <v>9000</v>
      </c>
    </row>
    <row r="10" spans="6:9">
      <c r="F10" t="s">
        <v>239</v>
      </c>
    </row>
    <row r="11" spans="6:9">
      <c r="F11">
        <f>SUM(_xlfn.XLOOKUP(F2,F2:F6,H2:H6))</f>
        <v>12000</v>
      </c>
    </row>
    <row r="12" spans="6:9">
      <c r="G12" t="s">
        <v>240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C254-8713-4E90-B020-48DC4DBCE806}">
  <dimension ref="A1:C13"/>
  <sheetViews>
    <sheetView workbookViewId="0">
      <selection activeCell="F9" sqref="F9"/>
    </sheetView>
  </sheetViews>
  <sheetFormatPr defaultRowHeight="14.4"/>
  <sheetData>
    <row r="1" spans="1:3" ht="21">
      <c r="A1" s="31" t="s">
        <v>44</v>
      </c>
      <c r="B1" s="31" t="s">
        <v>55</v>
      </c>
      <c r="C1" s="31" t="s">
        <v>225</v>
      </c>
    </row>
    <row r="2" spans="1:3">
      <c r="A2" s="8" t="s">
        <v>91</v>
      </c>
      <c r="B2" s="8" t="s">
        <v>227</v>
      </c>
      <c r="C2" s="9">
        <v>15000</v>
      </c>
    </row>
    <row r="3" spans="1:3">
      <c r="A3" s="8" t="s">
        <v>92</v>
      </c>
      <c r="B3" s="8" t="s">
        <v>228</v>
      </c>
      <c r="C3" s="9">
        <v>10000</v>
      </c>
    </row>
    <row r="4" spans="1:3">
      <c r="A4" s="8" t="s">
        <v>91</v>
      </c>
      <c r="B4" s="8" t="s">
        <v>229</v>
      </c>
      <c r="C4" s="9">
        <v>12000</v>
      </c>
    </row>
    <row r="5" spans="1:3">
      <c r="A5" s="8" t="s">
        <v>95</v>
      </c>
      <c r="B5" s="8" t="s">
        <v>227</v>
      </c>
      <c r="C5" s="9">
        <v>9000</v>
      </c>
    </row>
    <row r="6" spans="1:3">
      <c r="A6" s="8" t="s">
        <v>226</v>
      </c>
      <c r="B6" s="8" t="s">
        <v>227</v>
      </c>
      <c r="C6" s="9">
        <v>18000</v>
      </c>
    </row>
    <row r="7" spans="1:3">
      <c r="A7" s="8" t="s">
        <v>92</v>
      </c>
      <c r="B7" s="8" t="s">
        <v>230</v>
      </c>
      <c r="C7" s="9">
        <v>14000</v>
      </c>
    </row>
    <row r="8" spans="1:3">
      <c r="A8" s="8" t="s">
        <v>91</v>
      </c>
      <c r="B8" s="8" t="s">
        <v>230</v>
      </c>
      <c r="C8" s="9">
        <v>12000</v>
      </c>
    </row>
    <row r="9" spans="1:3">
      <c r="A9" s="8" t="s">
        <v>95</v>
      </c>
      <c r="B9" s="8" t="s">
        <v>230</v>
      </c>
      <c r="C9" s="9">
        <v>15000</v>
      </c>
    </row>
    <row r="13" spans="1:3">
      <c r="A13" cm="1">
        <f t="array" ref="A13">SUM(_xlfn._xlws.FILTER(C2:C9,A2:A9="Apple"))</f>
        <v>39000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1B97-B845-4C9F-AC29-15A5112A88E4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EC46-5062-4D58-B4CF-856DB04D0D3B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E89A-B66B-433F-9060-9E1CE029638D}">
  <dimension ref="A1"/>
  <sheetViews>
    <sheetView workbookViewId="0">
      <selection activeCell="O17" sqref="O17"/>
    </sheetView>
  </sheetViews>
  <sheetFormatPr defaultRowHeight="14.4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BEF9-BD6B-4AAD-946E-0D719FDCA526}">
  <dimension ref="A1:C23"/>
  <sheetViews>
    <sheetView tabSelected="1" workbookViewId="0">
      <selection activeCell="H11" sqref="H11"/>
    </sheetView>
  </sheetViews>
  <sheetFormatPr defaultRowHeight="14.4"/>
  <cols>
    <col min="1" max="1" width="17.21875" customWidth="1"/>
  </cols>
  <sheetData>
    <row r="1" spans="1:3">
      <c r="A1" s="10" t="s">
        <v>242</v>
      </c>
      <c r="B1" s="10" t="s">
        <v>225</v>
      </c>
      <c r="C1" s="10" t="s">
        <v>243</v>
      </c>
    </row>
    <row r="2" spans="1:3">
      <c r="A2" s="10" t="s">
        <v>244</v>
      </c>
      <c r="B2" s="9">
        <v>120056</v>
      </c>
      <c r="C2" s="53">
        <f>B2/$B$7</f>
        <v>0.23409300076434711</v>
      </c>
    </row>
    <row r="3" spans="1:3">
      <c r="A3" s="10" t="s">
        <v>245</v>
      </c>
      <c r="B3" s="9">
        <v>67000</v>
      </c>
      <c r="C3" s="53">
        <f t="shared" ref="C3:C7" si="0">B3/$B$7</f>
        <v>0.13064095964559252</v>
      </c>
    </row>
    <row r="4" spans="1:3">
      <c r="A4" s="10" t="s">
        <v>246</v>
      </c>
      <c r="B4" s="9">
        <v>150000</v>
      </c>
      <c r="C4" s="53">
        <f t="shared" si="0"/>
        <v>0.29247976040058027</v>
      </c>
    </row>
    <row r="5" spans="1:3">
      <c r="A5" s="10" t="s">
        <v>247</v>
      </c>
      <c r="B5" s="9">
        <v>85800</v>
      </c>
      <c r="C5" s="53">
        <f t="shared" si="0"/>
        <v>0.16729842294913191</v>
      </c>
    </row>
    <row r="6" spans="1:3">
      <c r="A6" s="10" t="s">
        <v>248</v>
      </c>
      <c r="B6" s="9">
        <v>90000</v>
      </c>
      <c r="C6" s="53">
        <f t="shared" si="0"/>
        <v>0.17548785624034816</v>
      </c>
    </row>
    <row r="7" spans="1:3">
      <c r="A7" s="10" t="s">
        <v>249</v>
      </c>
      <c r="B7" s="9">
        <f>SUM(B2:B6)</f>
        <v>512856</v>
      </c>
      <c r="C7" s="53">
        <f t="shared" si="0"/>
        <v>1</v>
      </c>
    </row>
    <row r="10" spans="1:3">
      <c r="A10" s="10" t="s">
        <v>242</v>
      </c>
      <c r="B10" s="10" t="s">
        <v>225</v>
      </c>
      <c r="C10" s="10" t="s">
        <v>243</v>
      </c>
    </row>
    <row r="11" spans="1:3">
      <c r="A11" s="10" t="s">
        <v>244</v>
      </c>
      <c r="B11" s="9">
        <v>120056</v>
      </c>
      <c r="C11" s="8"/>
    </row>
    <row r="12" spans="1:3">
      <c r="A12" s="10" t="s">
        <v>245</v>
      </c>
      <c r="B12" s="9">
        <v>67000</v>
      </c>
      <c r="C12" s="8"/>
    </row>
    <row r="13" spans="1:3">
      <c r="A13" s="10" t="s">
        <v>246</v>
      </c>
      <c r="B13" s="9">
        <v>150000</v>
      </c>
      <c r="C13" s="8"/>
    </row>
    <row r="14" spans="1:3">
      <c r="A14" s="10" t="s">
        <v>247</v>
      </c>
      <c r="B14" s="9">
        <v>85800</v>
      </c>
      <c r="C14" s="8"/>
    </row>
    <row r="15" spans="1:3">
      <c r="A15" s="10" t="s">
        <v>248</v>
      </c>
      <c r="B15" s="9">
        <v>90000</v>
      </c>
      <c r="C15" s="8"/>
    </row>
    <row r="18" spans="1:3">
      <c r="A18" s="10" t="s">
        <v>242</v>
      </c>
      <c r="B18" s="10" t="s">
        <v>225</v>
      </c>
      <c r="C18" s="10" t="s">
        <v>243</v>
      </c>
    </row>
    <row r="19" spans="1:3">
      <c r="A19" s="10" t="s">
        <v>244</v>
      </c>
      <c r="B19" s="9">
        <v>120056</v>
      </c>
      <c r="C19" s="8"/>
    </row>
    <row r="20" spans="1:3">
      <c r="A20" s="10" t="s">
        <v>245</v>
      </c>
      <c r="B20" s="9">
        <v>67000</v>
      </c>
      <c r="C20" s="8"/>
    </row>
    <row r="21" spans="1:3">
      <c r="A21" s="10" t="s">
        <v>246</v>
      </c>
      <c r="B21" s="9">
        <v>150000</v>
      </c>
      <c r="C21" s="8"/>
    </row>
    <row r="22" spans="1:3">
      <c r="A22" s="10" t="s">
        <v>247</v>
      </c>
      <c r="B22" s="9">
        <v>85800</v>
      </c>
      <c r="C22" s="8"/>
    </row>
    <row r="23" spans="1:3">
      <c r="A23" s="10" t="s">
        <v>248</v>
      </c>
      <c r="B23" s="9">
        <v>90000</v>
      </c>
      <c r="C2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Xmatch</vt:lpstr>
      <vt:lpstr>Verticle Xmatch</vt:lpstr>
      <vt:lpstr>Horizontal Xmatch</vt:lpstr>
      <vt:lpstr>Match Type</vt:lpstr>
      <vt:lpstr>Partial Match</vt:lpstr>
      <vt:lpstr>Reverse Search Xmatch</vt:lpstr>
      <vt:lpstr>Compare Column For Xmatch</vt:lpstr>
      <vt:lpstr>Index Match</vt:lpstr>
      <vt:lpstr>Xlookup</vt:lpstr>
      <vt:lpstr>Xlookup EX.1</vt:lpstr>
      <vt:lpstr>XLookup Multiple Example</vt:lpstr>
      <vt:lpstr>Xlookup With Sum</vt:lpstr>
      <vt:lpstr>SUM Using Filter</vt:lpstr>
      <vt:lpstr>Danymic Sum</vt:lpstr>
      <vt:lpstr>ABS</vt:lpstr>
      <vt:lpstr>Subtotal</vt:lpstr>
      <vt:lpstr>PercentOf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2025-07-27T15:19:35Z</dcterms:created>
  <dcterms:modified xsi:type="dcterms:W3CDTF">2025-08-25T16:26:49Z</dcterms:modified>
</cp:coreProperties>
</file>