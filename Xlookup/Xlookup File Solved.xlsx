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ve Sessions\Excel Xlookup\"/>
    </mc:Choice>
  </mc:AlternateContent>
  <xr:revisionPtr revIDLastSave="0" documentId="8_{ED613B1F-57F4-4E44-AE93-7691AEB9FF9F}" xr6:coauthVersionLast="47" xr6:coauthVersionMax="47" xr10:uidLastSave="{00000000-0000-0000-0000-000000000000}"/>
  <bookViews>
    <workbookView xWindow="22932" yWindow="-108" windowWidth="23256" windowHeight="13176" activeTab="4" xr2:uid="{00000000-000D-0000-FFFF-FFFF00000000}"/>
  </bookViews>
  <sheets>
    <sheet name="Xlookup 1" sheetId="1" r:id="rId1"/>
    <sheet name="Xlookup Dynamic" sheetId="2" r:id="rId2"/>
    <sheet name="Xlookup - IF NOT FOUND" sheetId="3" r:id="rId3"/>
    <sheet name="MatchType" sheetId="4" r:id="rId4"/>
    <sheet name="Searc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6" i="5"/>
  <c r="G5" i="5"/>
  <c r="H1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H5" i="3"/>
  <c r="I5" i="2" a="1"/>
  <c r="I5" i="2" s="1"/>
  <c r="I6" i="2" a="1"/>
  <c r="I6" i="2" s="1"/>
  <c r="I7" i="2" a="1"/>
  <c r="I7" i="2" s="1"/>
  <c r="I4" i="2" a="1"/>
  <c r="I4" i="2" s="1"/>
  <c r="I6" i="1"/>
  <c r="I5" i="1"/>
  <c r="I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<sst xmlns="http://schemas.openxmlformats.org/spreadsheetml/2006/main" count="1873" uniqueCount="43">
  <si>
    <t>Customer Name</t>
  </si>
  <si>
    <t>Account Number</t>
  </si>
  <si>
    <t>Balance (INR)</t>
  </si>
  <si>
    <t>City</t>
  </si>
  <si>
    <t>Account Type</t>
  </si>
  <si>
    <t>Aarav Sharma</t>
  </si>
  <si>
    <t>Ananya Singh</t>
  </si>
  <si>
    <t>Vivaan Kumar</t>
  </si>
  <si>
    <t>Diya Gupta</t>
  </si>
  <si>
    <t>Ishaan Joshi</t>
  </si>
  <si>
    <t>Kiara Verma</t>
  </si>
  <si>
    <t>Rohan Patel</t>
  </si>
  <si>
    <t>Meera Nair</t>
  </si>
  <si>
    <t>Aditya Malhotra</t>
  </si>
  <si>
    <t>Saanvi Deshmukh</t>
  </si>
  <si>
    <t>Mumbai</t>
  </si>
  <si>
    <t>Delhi</t>
  </si>
  <si>
    <t>Bangalore</t>
  </si>
  <si>
    <t>Pune</t>
  </si>
  <si>
    <t>Hyderabad</t>
  </si>
  <si>
    <t>Chennai</t>
  </si>
  <si>
    <t>Ahmedabad</t>
  </si>
  <si>
    <t>Kolkata</t>
  </si>
  <si>
    <t>Surat</t>
  </si>
  <si>
    <t>Jaipur</t>
  </si>
  <si>
    <t>Savings</t>
  </si>
  <si>
    <t>Current</t>
  </si>
  <si>
    <t>Saving Account</t>
  </si>
  <si>
    <t>Current Account</t>
  </si>
  <si>
    <t>Credit Card Limit</t>
  </si>
  <si>
    <t>Last 3 Months Average Balance</t>
  </si>
  <si>
    <t>Ankit Gupta</t>
  </si>
  <si>
    <t>Vinod Singh</t>
  </si>
  <si>
    <t>Vijay Mehta</t>
  </si>
  <si>
    <t>Sayali Pandey</t>
  </si>
  <si>
    <t>Vikas Singh</t>
  </si>
  <si>
    <t>Sohail Khan</t>
  </si>
  <si>
    <t>Rupali Deskmukh</t>
  </si>
  <si>
    <t>Lakshi Gupta</t>
  </si>
  <si>
    <t>Radha Gupta</t>
  </si>
  <si>
    <t>Sanket Mehra</t>
  </si>
  <si>
    <t>Gupta Ankit</t>
  </si>
  <si>
    <t>Aarav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</si>
</sst>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zoomScale="115" zoomScaleNormal="115" workbookViewId="0">
      <selection activeCell="H3" sqref="H3:H7"/>
    </sheetView>
  </sheetViews>
  <sheetFormatPr defaultRowHeight="14.4" x14ac:dyDescent="0.3"/>
  <cols>
    <col min="1" max="1" width="15.21875" bestFit="1" customWidth="1"/>
    <col min="2" max="2" width="12.33203125" bestFit="1" customWidth="1"/>
    <col min="3" max="3" width="10.6640625" bestFit="1" customWidth="1"/>
    <col min="4" max="4" width="17.44140625" customWidth="1"/>
    <col min="5" max="5" width="14.21875" customWidth="1"/>
    <col min="8" max="8" width="16.77734375" customWidth="1"/>
    <col min="9" max="9" width="17.33203125" customWidth="1"/>
  </cols>
  <sheetData>
    <row r="1" spans="1:9" x14ac:dyDescent="0.3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9" x14ac:dyDescent="0.3">
      <c r="A2" t="s">
        <v>5</v>
      </c>
      <c r="B2">
        <v>50000</v>
      </c>
      <c r="C2" t="s">
        <v>15</v>
      </c>
      <c r="D2">
        <v>1000000001</v>
      </c>
      <c r="E2" t="s">
        <v>25</v>
      </c>
    </row>
    <row r="3" spans="1:9" x14ac:dyDescent="0.3">
      <c r="A3" t="s">
        <v>6</v>
      </c>
      <c r="B3">
        <v>75000</v>
      </c>
      <c r="C3" t="s">
        <v>16</v>
      </c>
      <c r="D3">
        <v>1000000002</v>
      </c>
      <c r="E3" t="s">
        <v>26</v>
      </c>
      <c r="H3" s="2" t="s">
        <v>1</v>
      </c>
      <c r="I3">
        <v>1000000005</v>
      </c>
    </row>
    <row r="4" spans="1:9" x14ac:dyDescent="0.3">
      <c r="A4" t="s">
        <v>7</v>
      </c>
      <c r="B4">
        <v>120000</v>
      </c>
      <c r="C4" t="s">
        <v>17</v>
      </c>
      <c r="D4">
        <v>1000000003</v>
      </c>
      <c r="E4" t="s">
        <v>25</v>
      </c>
      <c r="H4" s="2" t="s">
        <v>0</v>
      </c>
      <c r="I4" t="str">
        <f>_xlfn.XLOOKUP(I3,D1:D201,A1:A201)</f>
        <v>Ishaan Joshi</v>
      </c>
    </row>
    <row r="5" spans="1:9" x14ac:dyDescent="0.3">
      <c r="A5" t="s">
        <v>8</v>
      </c>
      <c r="B5">
        <v>45000</v>
      </c>
      <c r="C5" t="s">
        <v>18</v>
      </c>
      <c r="D5">
        <v>1000000004</v>
      </c>
      <c r="E5" t="s">
        <v>26</v>
      </c>
      <c r="H5" s="2" t="s">
        <v>2</v>
      </c>
      <c r="I5">
        <f>_xlfn.XLOOKUP(I3,D1:D201,B1:B201)</f>
        <v>98000</v>
      </c>
    </row>
    <row r="6" spans="1:9" x14ac:dyDescent="0.3">
      <c r="A6" t="s">
        <v>9</v>
      </c>
      <c r="B6">
        <v>98000</v>
      </c>
      <c r="C6" t="s">
        <v>19</v>
      </c>
      <c r="D6">
        <v>1000000005</v>
      </c>
      <c r="E6" t="s">
        <v>25</v>
      </c>
      <c r="H6" s="2" t="s">
        <v>3</v>
      </c>
      <c r="I6" t="str">
        <f>_xlfn.XLOOKUP(I3,D:D,C:C)</f>
        <v>Hyderabad</v>
      </c>
    </row>
    <row r="7" spans="1:9" x14ac:dyDescent="0.3">
      <c r="A7" t="s">
        <v>10</v>
      </c>
      <c r="B7">
        <v>67000</v>
      </c>
      <c r="C7" t="s">
        <v>20</v>
      </c>
      <c r="D7">
        <v>1000000006</v>
      </c>
      <c r="E7" t="s">
        <v>26</v>
      </c>
      <c r="H7" s="2" t="s">
        <v>4</v>
      </c>
    </row>
    <row r="8" spans="1:9" x14ac:dyDescent="0.3">
      <c r="A8" t="s">
        <v>11</v>
      </c>
      <c r="B8">
        <v>56000</v>
      </c>
      <c r="C8" t="s">
        <v>21</v>
      </c>
      <c r="D8">
        <v>1000000007</v>
      </c>
      <c r="E8" t="s">
        <v>25</v>
      </c>
    </row>
    <row r="9" spans="1:9" x14ac:dyDescent="0.3">
      <c r="A9" t="s">
        <v>12</v>
      </c>
      <c r="B9">
        <v>89000</v>
      </c>
      <c r="C9" t="s">
        <v>22</v>
      </c>
      <c r="D9">
        <v>1000000008</v>
      </c>
      <c r="E9" t="s">
        <v>26</v>
      </c>
      <c r="H9" s="2"/>
    </row>
    <row r="10" spans="1:9" x14ac:dyDescent="0.3">
      <c r="A10" t="s">
        <v>13</v>
      </c>
      <c r="B10">
        <v>46000</v>
      </c>
      <c r="C10" t="s">
        <v>23</v>
      </c>
      <c r="D10">
        <v>1000000009</v>
      </c>
      <c r="E10" t="s">
        <v>25</v>
      </c>
    </row>
    <row r="11" spans="1:9" x14ac:dyDescent="0.3">
      <c r="A11" t="s">
        <v>14</v>
      </c>
      <c r="B11">
        <v>77000</v>
      </c>
      <c r="C11" t="s">
        <v>24</v>
      </c>
      <c r="D11">
        <v>1000000010</v>
      </c>
      <c r="E11" t="s">
        <v>26</v>
      </c>
    </row>
    <row r="12" spans="1:9" x14ac:dyDescent="0.3">
      <c r="A12" t="s">
        <v>5</v>
      </c>
      <c r="B12">
        <v>50000</v>
      </c>
      <c r="C12" t="s">
        <v>15</v>
      </c>
      <c r="D12">
        <v>1000000011</v>
      </c>
      <c r="E12" t="s">
        <v>25</v>
      </c>
    </row>
    <row r="13" spans="1:9" x14ac:dyDescent="0.3">
      <c r="A13" t="s">
        <v>6</v>
      </c>
      <c r="B13">
        <v>75000</v>
      </c>
      <c r="C13" t="s">
        <v>16</v>
      </c>
      <c r="D13">
        <v>1000000012</v>
      </c>
      <c r="E13" t="s">
        <v>26</v>
      </c>
    </row>
    <row r="14" spans="1:9" x14ac:dyDescent="0.3">
      <c r="A14" t="s">
        <v>7</v>
      </c>
      <c r="B14">
        <v>120000</v>
      </c>
      <c r="C14" t="s">
        <v>17</v>
      </c>
      <c r="D14">
        <v>1000000013</v>
      </c>
      <c r="E14" t="s">
        <v>25</v>
      </c>
    </row>
    <row r="15" spans="1:9" x14ac:dyDescent="0.3">
      <c r="A15" t="s">
        <v>8</v>
      </c>
      <c r="B15">
        <v>45000</v>
      </c>
      <c r="C15" t="s">
        <v>18</v>
      </c>
      <c r="D15">
        <v>1000000014</v>
      </c>
      <c r="E15" t="s">
        <v>26</v>
      </c>
    </row>
    <row r="16" spans="1:9" x14ac:dyDescent="0.3">
      <c r="A16" t="s">
        <v>9</v>
      </c>
      <c r="B16">
        <v>98000</v>
      </c>
      <c r="C16" t="s">
        <v>19</v>
      </c>
      <c r="D16">
        <v>1000000015</v>
      </c>
      <c r="E16" t="s">
        <v>25</v>
      </c>
    </row>
    <row r="17" spans="1:5" x14ac:dyDescent="0.3">
      <c r="A17" t="s">
        <v>10</v>
      </c>
      <c r="B17">
        <v>67000</v>
      </c>
      <c r="C17" t="s">
        <v>20</v>
      </c>
      <c r="D17">
        <v>1000000016</v>
      </c>
      <c r="E17" t="s">
        <v>26</v>
      </c>
    </row>
    <row r="18" spans="1:5" x14ac:dyDescent="0.3">
      <c r="A18" t="s">
        <v>11</v>
      </c>
      <c r="B18">
        <v>56000</v>
      </c>
      <c r="C18" t="s">
        <v>21</v>
      </c>
      <c r="D18">
        <v>1000000017</v>
      </c>
      <c r="E18" t="s">
        <v>25</v>
      </c>
    </row>
    <row r="19" spans="1:5" x14ac:dyDescent="0.3">
      <c r="A19" t="s">
        <v>12</v>
      </c>
      <c r="B19">
        <v>89000</v>
      </c>
      <c r="C19" t="s">
        <v>22</v>
      </c>
      <c r="D19">
        <v>1000000018</v>
      </c>
      <c r="E19" t="s">
        <v>26</v>
      </c>
    </row>
    <row r="20" spans="1:5" x14ac:dyDescent="0.3">
      <c r="A20" t="s">
        <v>13</v>
      </c>
      <c r="B20">
        <v>46000</v>
      </c>
      <c r="C20" t="s">
        <v>23</v>
      </c>
      <c r="D20">
        <v>1000000019</v>
      </c>
      <c r="E20" t="s">
        <v>25</v>
      </c>
    </row>
    <row r="21" spans="1:5" x14ac:dyDescent="0.3">
      <c r="A21" t="s">
        <v>14</v>
      </c>
      <c r="B21">
        <v>77000</v>
      </c>
      <c r="C21" t="s">
        <v>24</v>
      </c>
      <c r="D21">
        <v>1000000020</v>
      </c>
      <c r="E21" t="s">
        <v>26</v>
      </c>
    </row>
    <row r="22" spans="1:5" x14ac:dyDescent="0.3">
      <c r="A22" t="s">
        <v>5</v>
      </c>
      <c r="B22">
        <v>50000</v>
      </c>
      <c r="C22" t="s">
        <v>15</v>
      </c>
      <c r="D22">
        <v>1000000021</v>
      </c>
      <c r="E22" t="s">
        <v>25</v>
      </c>
    </row>
    <row r="23" spans="1:5" x14ac:dyDescent="0.3">
      <c r="A23" t="s">
        <v>6</v>
      </c>
      <c r="B23">
        <v>75000</v>
      </c>
      <c r="C23" t="s">
        <v>16</v>
      </c>
      <c r="D23">
        <v>1000000022</v>
      </c>
      <c r="E23" t="s">
        <v>26</v>
      </c>
    </row>
    <row r="24" spans="1:5" x14ac:dyDescent="0.3">
      <c r="A24" t="s">
        <v>7</v>
      </c>
      <c r="B24">
        <v>120000</v>
      </c>
      <c r="C24" t="s">
        <v>17</v>
      </c>
      <c r="D24">
        <v>1000000023</v>
      </c>
      <c r="E24" t="s">
        <v>25</v>
      </c>
    </row>
    <row r="25" spans="1:5" x14ac:dyDescent="0.3">
      <c r="A25" t="s">
        <v>8</v>
      </c>
      <c r="B25">
        <v>45000</v>
      </c>
      <c r="C25" t="s">
        <v>18</v>
      </c>
      <c r="D25">
        <v>1000000024</v>
      </c>
      <c r="E25" t="s">
        <v>26</v>
      </c>
    </row>
    <row r="26" spans="1:5" x14ac:dyDescent="0.3">
      <c r="A26" t="s">
        <v>9</v>
      </c>
      <c r="B26">
        <v>98000</v>
      </c>
      <c r="C26" t="s">
        <v>19</v>
      </c>
      <c r="D26">
        <v>1000000025</v>
      </c>
      <c r="E26" t="s">
        <v>25</v>
      </c>
    </row>
    <row r="27" spans="1:5" x14ac:dyDescent="0.3">
      <c r="A27" t="s">
        <v>10</v>
      </c>
      <c r="B27">
        <v>67000</v>
      </c>
      <c r="C27" t="s">
        <v>20</v>
      </c>
      <c r="D27">
        <v>1000000026</v>
      </c>
      <c r="E27" t="s">
        <v>26</v>
      </c>
    </row>
    <row r="28" spans="1:5" x14ac:dyDescent="0.3">
      <c r="A28" t="s">
        <v>11</v>
      </c>
      <c r="B28">
        <v>56000</v>
      </c>
      <c r="C28" t="s">
        <v>21</v>
      </c>
      <c r="D28">
        <v>1000000027</v>
      </c>
      <c r="E28" t="s">
        <v>25</v>
      </c>
    </row>
    <row r="29" spans="1:5" x14ac:dyDescent="0.3">
      <c r="A29" t="s">
        <v>12</v>
      </c>
      <c r="B29">
        <v>89000</v>
      </c>
      <c r="C29" t="s">
        <v>22</v>
      </c>
      <c r="D29">
        <v>1000000028</v>
      </c>
      <c r="E29" t="s">
        <v>26</v>
      </c>
    </row>
    <row r="30" spans="1:5" x14ac:dyDescent="0.3">
      <c r="A30" t="s">
        <v>13</v>
      </c>
      <c r="B30">
        <v>46000</v>
      </c>
      <c r="C30" t="s">
        <v>23</v>
      </c>
      <c r="D30">
        <v>1000000029</v>
      </c>
      <c r="E30" t="s">
        <v>25</v>
      </c>
    </row>
    <row r="31" spans="1:5" x14ac:dyDescent="0.3">
      <c r="A31" t="s">
        <v>14</v>
      </c>
      <c r="B31">
        <v>77000</v>
      </c>
      <c r="C31" t="s">
        <v>24</v>
      </c>
      <c r="D31">
        <v>1000000030</v>
      </c>
      <c r="E31" t="s">
        <v>26</v>
      </c>
    </row>
    <row r="32" spans="1:5" x14ac:dyDescent="0.3">
      <c r="A32" t="s">
        <v>5</v>
      </c>
      <c r="B32">
        <v>50000</v>
      </c>
      <c r="C32" t="s">
        <v>15</v>
      </c>
      <c r="D32">
        <v>1000000031</v>
      </c>
      <c r="E32" t="s">
        <v>25</v>
      </c>
    </row>
    <row r="33" spans="1:5" x14ac:dyDescent="0.3">
      <c r="A33" t="s">
        <v>6</v>
      </c>
      <c r="B33">
        <v>75000</v>
      </c>
      <c r="C33" t="s">
        <v>16</v>
      </c>
      <c r="D33">
        <v>1000000032</v>
      </c>
      <c r="E33" t="s">
        <v>26</v>
      </c>
    </row>
    <row r="34" spans="1:5" x14ac:dyDescent="0.3">
      <c r="A34" t="s">
        <v>7</v>
      </c>
      <c r="B34">
        <v>120000</v>
      </c>
      <c r="C34" t="s">
        <v>17</v>
      </c>
      <c r="D34">
        <v>1000000033</v>
      </c>
      <c r="E34" t="s">
        <v>25</v>
      </c>
    </row>
    <row r="35" spans="1:5" x14ac:dyDescent="0.3">
      <c r="A35" t="s">
        <v>8</v>
      </c>
      <c r="B35">
        <v>45000</v>
      </c>
      <c r="C35" t="s">
        <v>18</v>
      </c>
      <c r="D35">
        <v>1000000034</v>
      </c>
      <c r="E35" t="s">
        <v>26</v>
      </c>
    </row>
    <row r="36" spans="1:5" x14ac:dyDescent="0.3">
      <c r="A36" t="s">
        <v>9</v>
      </c>
      <c r="B36">
        <v>98000</v>
      </c>
      <c r="C36" t="s">
        <v>19</v>
      </c>
      <c r="D36">
        <v>1000000035</v>
      </c>
      <c r="E36" t="s">
        <v>25</v>
      </c>
    </row>
    <row r="37" spans="1:5" x14ac:dyDescent="0.3">
      <c r="A37" t="s">
        <v>10</v>
      </c>
      <c r="B37">
        <v>67000</v>
      </c>
      <c r="C37" t="s">
        <v>20</v>
      </c>
      <c r="D37">
        <v>1000000036</v>
      </c>
      <c r="E37" t="s">
        <v>26</v>
      </c>
    </row>
    <row r="38" spans="1:5" x14ac:dyDescent="0.3">
      <c r="A38" t="s">
        <v>11</v>
      </c>
      <c r="B38">
        <v>56000</v>
      </c>
      <c r="C38" t="s">
        <v>21</v>
      </c>
      <c r="D38">
        <v>1000000037</v>
      </c>
      <c r="E38" t="s">
        <v>25</v>
      </c>
    </row>
    <row r="39" spans="1:5" x14ac:dyDescent="0.3">
      <c r="A39" t="s">
        <v>12</v>
      </c>
      <c r="B39">
        <v>89000</v>
      </c>
      <c r="C39" t="s">
        <v>22</v>
      </c>
      <c r="D39">
        <v>1000000038</v>
      </c>
      <c r="E39" t="s">
        <v>26</v>
      </c>
    </row>
    <row r="40" spans="1:5" x14ac:dyDescent="0.3">
      <c r="A40" t="s">
        <v>13</v>
      </c>
      <c r="B40">
        <v>46000</v>
      </c>
      <c r="C40" t="s">
        <v>23</v>
      </c>
      <c r="D40">
        <v>1000000039</v>
      </c>
      <c r="E40" t="s">
        <v>25</v>
      </c>
    </row>
    <row r="41" spans="1:5" x14ac:dyDescent="0.3">
      <c r="A41" t="s">
        <v>14</v>
      </c>
      <c r="B41">
        <v>77000</v>
      </c>
      <c r="C41" t="s">
        <v>24</v>
      </c>
      <c r="D41">
        <v>1000000040</v>
      </c>
      <c r="E41" t="s">
        <v>26</v>
      </c>
    </row>
    <row r="42" spans="1:5" x14ac:dyDescent="0.3">
      <c r="A42" t="s">
        <v>5</v>
      </c>
      <c r="B42">
        <v>50000</v>
      </c>
      <c r="C42" t="s">
        <v>15</v>
      </c>
      <c r="D42">
        <v>1000000041</v>
      </c>
      <c r="E42" t="s">
        <v>25</v>
      </c>
    </row>
    <row r="43" spans="1:5" x14ac:dyDescent="0.3">
      <c r="A43" t="s">
        <v>6</v>
      </c>
      <c r="B43">
        <v>75000</v>
      </c>
      <c r="C43" t="s">
        <v>16</v>
      </c>
      <c r="D43">
        <v>1000000042</v>
      </c>
      <c r="E43" t="s">
        <v>26</v>
      </c>
    </row>
    <row r="44" spans="1:5" x14ac:dyDescent="0.3">
      <c r="A44" t="s">
        <v>7</v>
      </c>
      <c r="B44">
        <v>120000</v>
      </c>
      <c r="C44" t="s">
        <v>17</v>
      </c>
      <c r="D44">
        <v>1000000043</v>
      </c>
      <c r="E44" t="s">
        <v>25</v>
      </c>
    </row>
    <row r="45" spans="1:5" x14ac:dyDescent="0.3">
      <c r="A45" t="s">
        <v>8</v>
      </c>
      <c r="B45">
        <v>45000</v>
      </c>
      <c r="C45" t="s">
        <v>18</v>
      </c>
      <c r="D45">
        <v>1000000044</v>
      </c>
      <c r="E45" t="s">
        <v>26</v>
      </c>
    </row>
    <row r="46" spans="1:5" x14ac:dyDescent="0.3">
      <c r="A46" t="s">
        <v>9</v>
      </c>
      <c r="B46">
        <v>98000</v>
      </c>
      <c r="C46" t="s">
        <v>19</v>
      </c>
      <c r="D46">
        <v>1000000045</v>
      </c>
      <c r="E46" t="s">
        <v>25</v>
      </c>
    </row>
    <row r="47" spans="1:5" x14ac:dyDescent="0.3">
      <c r="A47" t="s">
        <v>10</v>
      </c>
      <c r="B47">
        <v>67000</v>
      </c>
      <c r="C47" t="s">
        <v>20</v>
      </c>
      <c r="D47">
        <v>1000000046</v>
      </c>
      <c r="E47" t="s">
        <v>26</v>
      </c>
    </row>
    <row r="48" spans="1:5" x14ac:dyDescent="0.3">
      <c r="A48" t="s">
        <v>11</v>
      </c>
      <c r="B48">
        <v>56000</v>
      </c>
      <c r="C48" t="s">
        <v>21</v>
      </c>
      <c r="D48">
        <v>1000000047</v>
      </c>
      <c r="E48" t="s">
        <v>25</v>
      </c>
    </row>
    <row r="49" spans="1:5" x14ac:dyDescent="0.3">
      <c r="A49" t="s">
        <v>12</v>
      </c>
      <c r="B49">
        <v>89000</v>
      </c>
      <c r="C49" t="s">
        <v>22</v>
      </c>
      <c r="D49">
        <v>1000000048</v>
      </c>
      <c r="E49" t="s">
        <v>26</v>
      </c>
    </row>
    <row r="50" spans="1:5" x14ac:dyDescent="0.3">
      <c r="A50" t="s">
        <v>13</v>
      </c>
      <c r="B50">
        <v>46000</v>
      </c>
      <c r="C50" t="s">
        <v>23</v>
      </c>
      <c r="D50">
        <v>1000000049</v>
      </c>
      <c r="E50" t="s">
        <v>25</v>
      </c>
    </row>
    <row r="51" spans="1:5" x14ac:dyDescent="0.3">
      <c r="A51" t="s">
        <v>14</v>
      </c>
      <c r="B51">
        <v>77000</v>
      </c>
      <c r="C51" t="s">
        <v>24</v>
      </c>
      <c r="D51">
        <v>1000000050</v>
      </c>
      <c r="E51" t="s">
        <v>26</v>
      </c>
    </row>
    <row r="52" spans="1:5" x14ac:dyDescent="0.3">
      <c r="A52" t="s">
        <v>5</v>
      </c>
      <c r="B52">
        <v>50000</v>
      </c>
      <c r="C52" t="s">
        <v>15</v>
      </c>
      <c r="D52">
        <v>1000000051</v>
      </c>
      <c r="E52" t="s">
        <v>25</v>
      </c>
    </row>
    <row r="53" spans="1:5" x14ac:dyDescent="0.3">
      <c r="A53" t="s">
        <v>6</v>
      </c>
      <c r="B53">
        <v>75000</v>
      </c>
      <c r="C53" t="s">
        <v>16</v>
      </c>
      <c r="D53">
        <v>1000000052</v>
      </c>
      <c r="E53" t="s">
        <v>26</v>
      </c>
    </row>
    <row r="54" spans="1:5" x14ac:dyDescent="0.3">
      <c r="A54" t="s">
        <v>7</v>
      </c>
      <c r="B54">
        <v>120000</v>
      </c>
      <c r="C54" t="s">
        <v>17</v>
      </c>
      <c r="D54">
        <v>1000000053</v>
      </c>
      <c r="E54" t="s">
        <v>25</v>
      </c>
    </row>
    <row r="55" spans="1:5" x14ac:dyDescent="0.3">
      <c r="A55" t="s">
        <v>8</v>
      </c>
      <c r="B55">
        <v>45000</v>
      </c>
      <c r="C55" t="s">
        <v>18</v>
      </c>
      <c r="D55">
        <v>1000000054</v>
      </c>
      <c r="E55" t="s">
        <v>26</v>
      </c>
    </row>
    <row r="56" spans="1:5" x14ac:dyDescent="0.3">
      <c r="A56" t="s">
        <v>9</v>
      </c>
      <c r="B56">
        <v>98000</v>
      </c>
      <c r="C56" t="s">
        <v>19</v>
      </c>
      <c r="D56">
        <v>1000000055</v>
      </c>
      <c r="E56" t="s">
        <v>25</v>
      </c>
    </row>
    <row r="57" spans="1:5" x14ac:dyDescent="0.3">
      <c r="A57" t="s">
        <v>10</v>
      </c>
      <c r="B57">
        <v>67000</v>
      </c>
      <c r="C57" t="s">
        <v>20</v>
      </c>
      <c r="D57">
        <v>1000000056</v>
      </c>
      <c r="E57" t="s">
        <v>26</v>
      </c>
    </row>
    <row r="58" spans="1:5" x14ac:dyDescent="0.3">
      <c r="A58" t="s">
        <v>11</v>
      </c>
      <c r="B58">
        <v>56000</v>
      </c>
      <c r="C58" t="s">
        <v>21</v>
      </c>
      <c r="D58">
        <v>1000000057</v>
      </c>
      <c r="E58" t="s">
        <v>25</v>
      </c>
    </row>
    <row r="59" spans="1:5" x14ac:dyDescent="0.3">
      <c r="A59" t="s">
        <v>12</v>
      </c>
      <c r="B59">
        <v>89000</v>
      </c>
      <c r="C59" t="s">
        <v>22</v>
      </c>
      <c r="D59">
        <v>1000000058</v>
      </c>
      <c r="E59" t="s">
        <v>26</v>
      </c>
    </row>
    <row r="60" spans="1:5" x14ac:dyDescent="0.3">
      <c r="A60" t="s">
        <v>13</v>
      </c>
      <c r="B60">
        <v>46000</v>
      </c>
      <c r="C60" t="s">
        <v>23</v>
      </c>
      <c r="D60">
        <v>1000000059</v>
      </c>
      <c r="E60" t="s">
        <v>25</v>
      </c>
    </row>
    <row r="61" spans="1:5" x14ac:dyDescent="0.3">
      <c r="A61" t="s">
        <v>14</v>
      </c>
      <c r="B61">
        <v>77000</v>
      </c>
      <c r="C61" t="s">
        <v>24</v>
      </c>
      <c r="D61">
        <v>1000000060</v>
      </c>
      <c r="E61" t="s">
        <v>26</v>
      </c>
    </row>
    <row r="62" spans="1:5" x14ac:dyDescent="0.3">
      <c r="A62" t="s">
        <v>5</v>
      </c>
      <c r="B62">
        <v>50000</v>
      </c>
      <c r="C62" t="s">
        <v>15</v>
      </c>
      <c r="D62">
        <v>1000000061</v>
      </c>
      <c r="E62" t="s">
        <v>25</v>
      </c>
    </row>
    <row r="63" spans="1:5" x14ac:dyDescent="0.3">
      <c r="A63" t="s">
        <v>6</v>
      </c>
      <c r="B63">
        <v>75000</v>
      </c>
      <c r="C63" t="s">
        <v>16</v>
      </c>
      <c r="D63">
        <v>1000000062</v>
      </c>
      <c r="E63" t="s">
        <v>26</v>
      </c>
    </row>
    <row r="64" spans="1:5" x14ac:dyDescent="0.3">
      <c r="A64" t="s">
        <v>7</v>
      </c>
      <c r="B64">
        <v>120000</v>
      </c>
      <c r="C64" t="s">
        <v>17</v>
      </c>
      <c r="D64">
        <v>1000000063</v>
      </c>
      <c r="E64" t="s">
        <v>25</v>
      </c>
    </row>
    <row r="65" spans="1:5" x14ac:dyDescent="0.3">
      <c r="A65" t="s">
        <v>8</v>
      </c>
      <c r="B65">
        <v>45000</v>
      </c>
      <c r="C65" t="s">
        <v>18</v>
      </c>
      <c r="D65">
        <v>1000000064</v>
      </c>
      <c r="E65" t="s">
        <v>26</v>
      </c>
    </row>
    <row r="66" spans="1:5" x14ac:dyDescent="0.3">
      <c r="A66" t="s">
        <v>9</v>
      </c>
      <c r="B66">
        <v>98000</v>
      </c>
      <c r="C66" t="s">
        <v>19</v>
      </c>
      <c r="D66">
        <v>1000000065</v>
      </c>
      <c r="E66" t="s">
        <v>25</v>
      </c>
    </row>
    <row r="67" spans="1:5" x14ac:dyDescent="0.3">
      <c r="A67" t="s">
        <v>10</v>
      </c>
      <c r="B67">
        <v>67000</v>
      </c>
      <c r="C67" t="s">
        <v>20</v>
      </c>
      <c r="D67">
        <v>1000000066</v>
      </c>
      <c r="E67" t="s">
        <v>26</v>
      </c>
    </row>
    <row r="68" spans="1:5" x14ac:dyDescent="0.3">
      <c r="A68" t="s">
        <v>11</v>
      </c>
      <c r="B68">
        <v>56000</v>
      </c>
      <c r="C68" t="s">
        <v>21</v>
      </c>
      <c r="D68">
        <v>1000000067</v>
      </c>
      <c r="E68" t="s">
        <v>25</v>
      </c>
    </row>
    <row r="69" spans="1:5" x14ac:dyDescent="0.3">
      <c r="A69" t="s">
        <v>12</v>
      </c>
      <c r="B69">
        <v>89000</v>
      </c>
      <c r="C69" t="s">
        <v>22</v>
      </c>
      <c r="D69">
        <v>1000000068</v>
      </c>
      <c r="E69" t="s">
        <v>26</v>
      </c>
    </row>
    <row r="70" spans="1:5" x14ac:dyDescent="0.3">
      <c r="A70" t="s">
        <v>13</v>
      </c>
      <c r="B70">
        <v>46000</v>
      </c>
      <c r="C70" t="s">
        <v>23</v>
      </c>
      <c r="D70">
        <v>1000000069</v>
      </c>
      <c r="E70" t="s">
        <v>25</v>
      </c>
    </row>
    <row r="71" spans="1:5" x14ac:dyDescent="0.3">
      <c r="A71" t="s">
        <v>14</v>
      </c>
      <c r="B71">
        <v>77000</v>
      </c>
      <c r="C71" t="s">
        <v>24</v>
      </c>
      <c r="D71">
        <v>1000000070</v>
      </c>
      <c r="E71" t="s">
        <v>26</v>
      </c>
    </row>
    <row r="72" spans="1:5" x14ac:dyDescent="0.3">
      <c r="A72" t="s">
        <v>5</v>
      </c>
      <c r="B72">
        <v>50000</v>
      </c>
      <c r="C72" t="s">
        <v>15</v>
      </c>
      <c r="D72">
        <v>1000000071</v>
      </c>
      <c r="E72" t="s">
        <v>25</v>
      </c>
    </row>
    <row r="73" spans="1:5" x14ac:dyDescent="0.3">
      <c r="A73" t="s">
        <v>6</v>
      </c>
      <c r="B73">
        <v>75000</v>
      </c>
      <c r="C73" t="s">
        <v>16</v>
      </c>
      <c r="D73">
        <v>1000000072</v>
      </c>
      <c r="E73" t="s">
        <v>26</v>
      </c>
    </row>
    <row r="74" spans="1:5" x14ac:dyDescent="0.3">
      <c r="A74" t="s">
        <v>7</v>
      </c>
      <c r="B74">
        <v>120000</v>
      </c>
      <c r="C74" t="s">
        <v>17</v>
      </c>
      <c r="D74">
        <v>1000000073</v>
      </c>
      <c r="E74" t="s">
        <v>25</v>
      </c>
    </row>
    <row r="75" spans="1:5" x14ac:dyDescent="0.3">
      <c r="A75" t="s">
        <v>8</v>
      </c>
      <c r="B75">
        <v>45000</v>
      </c>
      <c r="C75" t="s">
        <v>18</v>
      </c>
      <c r="D75">
        <v>1000000074</v>
      </c>
      <c r="E75" t="s">
        <v>26</v>
      </c>
    </row>
    <row r="76" spans="1:5" x14ac:dyDescent="0.3">
      <c r="A76" t="s">
        <v>9</v>
      </c>
      <c r="B76">
        <v>98000</v>
      </c>
      <c r="C76" t="s">
        <v>19</v>
      </c>
      <c r="D76">
        <v>1000000075</v>
      </c>
      <c r="E76" t="s">
        <v>25</v>
      </c>
    </row>
    <row r="77" spans="1:5" x14ac:dyDescent="0.3">
      <c r="A77" t="s">
        <v>10</v>
      </c>
      <c r="B77">
        <v>67000</v>
      </c>
      <c r="C77" t="s">
        <v>20</v>
      </c>
      <c r="D77">
        <v>1000000076</v>
      </c>
      <c r="E77" t="s">
        <v>26</v>
      </c>
    </row>
    <row r="78" spans="1:5" x14ac:dyDescent="0.3">
      <c r="A78" t="s">
        <v>11</v>
      </c>
      <c r="B78">
        <v>56000</v>
      </c>
      <c r="C78" t="s">
        <v>21</v>
      </c>
      <c r="D78">
        <v>1000000077</v>
      </c>
      <c r="E78" t="s">
        <v>25</v>
      </c>
    </row>
    <row r="79" spans="1:5" x14ac:dyDescent="0.3">
      <c r="A79" t="s">
        <v>12</v>
      </c>
      <c r="B79">
        <v>89000</v>
      </c>
      <c r="C79" t="s">
        <v>22</v>
      </c>
      <c r="D79">
        <v>1000000078</v>
      </c>
      <c r="E79" t="s">
        <v>26</v>
      </c>
    </row>
    <row r="80" spans="1:5" x14ac:dyDescent="0.3">
      <c r="A80" t="s">
        <v>13</v>
      </c>
      <c r="B80">
        <v>46000</v>
      </c>
      <c r="C80" t="s">
        <v>23</v>
      </c>
      <c r="D80">
        <v>1000000079</v>
      </c>
      <c r="E80" t="s">
        <v>25</v>
      </c>
    </row>
    <row r="81" spans="1:5" x14ac:dyDescent="0.3">
      <c r="A81" t="s">
        <v>14</v>
      </c>
      <c r="B81">
        <v>77000</v>
      </c>
      <c r="C81" t="s">
        <v>24</v>
      </c>
      <c r="D81">
        <v>1000000080</v>
      </c>
      <c r="E81" t="s">
        <v>26</v>
      </c>
    </row>
    <row r="82" spans="1:5" x14ac:dyDescent="0.3">
      <c r="A82" t="s">
        <v>5</v>
      </c>
      <c r="B82">
        <v>50000</v>
      </c>
      <c r="C82" t="s">
        <v>15</v>
      </c>
      <c r="D82">
        <v>1000000081</v>
      </c>
      <c r="E82" t="s">
        <v>25</v>
      </c>
    </row>
    <row r="83" spans="1:5" x14ac:dyDescent="0.3">
      <c r="A83" t="s">
        <v>6</v>
      </c>
      <c r="B83">
        <v>75000</v>
      </c>
      <c r="C83" t="s">
        <v>16</v>
      </c>
      <c r="D83">
        <v>1000000082</v>
      </c>
      <c r="E83" t="s">
        <v>26</v>
      </c>
    </row>
    <row r="84" spans="1:5" x14ac:dyDescent="0.3">
      <c r="A84" t="s">
        <v>7</v>
      </c>
      <c r="B84">
        <v>120000</v>
      </c>
      <c r="C84" t="s">
        <v>17</v>
      </c>
      <c r="D84">
        <v>1000000083</v>
      </c>
      <c r="E84" t="s">
        <v>25</v>
      </c>
    </row>
    <row r="85" spans="1:5" x14ac:dyDescent="0.3">
      <c r="A85" t="s">
        <v>8</v>
      </c>
      <c r="B85">
        <v>45000</v>
      </c>
      <c r="C85" t="s">
        <v>18</v>
      </c>
      <c r="D85">
        <v>1000000084</v>
      </c>
      <c r="E85" t="s">
        <v>26</v>
      </c>
    </row>
    <row r="86" spans="1:5" x14ac:dyDescent="0.3">
      <c r="A86" t="s">
        <v>9</v>
      </c>
      <c r="B86">
        <v>98000</v>
      </c>
      <c r="C86" t="s">
        <v>19</v>
      </c>
      <c r="D86">
        <v>1000000085</v>
      </c>
      <c r="E86" t="s">
        <v>25</v>
      </c>
    </row>
    <row r="87" spans="1:5" x14ac:dyDescent="0.3">
      <c r="A87" t="s">
        <v>10</v>
      </c>
      <c r="B87">
        <v>67000</v>
      </c>
      <c r="C87" t="s">
        <v>20</v>
      </c>
      <c r="D87">
        <v>1000000086</v>
      </c>
      <c r="E87" t="s">
        <v>26</v>
      </c>
    </row>
    <row r="88" spans="1:5" x14ac:dyDescent="0.3">
      <c r="A88" t="s">
        <v>11</v>
      </c>
      <c r="B88">
        <v>56000</v>
      </c>
      <c r="C88" t="s">
        <v>21</v>
      </c>
      <c r="D88">
        <v>1000000087</v>
      </c>
      <c r="E88" t="s">
        <v>25</v>
      </c>
    </row>
    <row r="89" spans="1:5" x14ac:dyDescent="0.3">
      <c r="A89" t="s">
        <v>12</v>
      </c>
      <c r="B89">
        <v>89000</v>
      </c>
      <c r="C89" t="s">
        <v>22</v>
      </c>
      <c r="D89">
        <v>1000000088</v>
      </c>
      <c r="E89" t="s">
        <v>26</v>
      </c>
    </row>
    <row r="90" spans="1:5" x14ac:dyDescent="0.3">
      <c r="A90" t="s">
        <v>13</v>
      </c>
      <c r="B90">
        <v>46000</v>
      </c>
      <c r="C90" t="s">
        <v>23</v>
      </c>
      <c r="D90">
        <v>1000000089</v>
      </c>
      <c r="E90" t="s">
        <v>25</v>
      </c>
    </row>
    <row r="91" spans="1:5" x14ac:dyDescent="0.3">
      <c r="A91" t="s">
        <v>14</v>
      </c>
      <c r="B91">
        <v>77000</v>
      </c>
      <c r="C91" t="s">
        <v>24</v>
      </c>
      <c r="D91">
        <v>1000000090</v>
      </c>
      <c r="E91" t="s">
        <v>26</v>
      </c>
    </row>
    <row r="92" spans="1:5" x14ac:dyDescent="0.3">
      <c r="A92" t="s">
        <v>5</v>
      </c>
      <c r="B92">
        <v>50000</v>
      </c>
      <c r="C92" t="s">
        <v>15</v>
      </c>
      <c r="D92">
        <v>1000000091</v>
      </c>
      <c r="E92" t="s">
        <v>25</v>
      </c>
    </row>
    <row r="93" spans="1:5" x14ac:dyDescent="0.3">
      <c r="A93" t="s">
        <v>6</v>
      </c>
      <c r="B93">
        <v>75000</v>
      </c>
      <c r="C93" t="s">
        <v>16</v>
      </c>
      <c r="D93">
        <v>1000000092</v>
      </c>
      <c r="E93" t="s">
        <v>26</v>
      </c>
    </row>
    <row r="94" spans="1:5" x14ac:dyDescent="0.3">
      <c r="A94" t="s">
        <v>7</v>
      </c>
      <c r="B94">
        <v>120000</v>
      </c>
      <c r="C94" t="s">
        <v>17</v>
      </c>
      <c r="D94">
        <v>1000000093</v>
      </c>
      <c r="E94" t="s">
        <v>25</v>
      </c>
    </row>
    <row r="95" spans="1:5" x14ac:dyDescent="0.3">
      <c r="A95" t="s">
        <v>8</v>
      </c>
      <c r="B95">
        <v>45000</v>
      </c>
      <c r="C95" t="s">
        <v>18</v>
      </c>
      <c r="D95">
        <v>1000000094</v>
      </c>
      <c r="E95" t="s">
        <v>26</v>
      </c>
    </row>
    <row r="96" spans="1:5" x14ac:dyDescent="0.3">
      <c r="A96" t="s">
        <v>9</v>
      </c>
      <c r="B96">
        <v>98000</v>
      </c>
      <c r="C96" t="s">
        <v>19</v>
      </c>
      <c r="D96">
        <v>1000000095</v>
      </c>
      <c r="E96" t="s">
        <v>25</v>
      </c>
    </row>
    <row r="97" spans="1:5" x14ac:dyDescent="0.3">
      <c r="A97" t="s">
        <v>10</v>
      </c>
      <c r="B97">
        <v>67000</v>
      </c>
      <c r="C97" t="s">
        <v>20</v>
      </c>
      <c r="D97">
        <v>1000000096</v>
      </c>
      <c r="E97" t="s">
        <v>26</v>
      </c>
    </row>
    <row r="98" spans="1:5" x14ac:dyDescent="0.3">
      <c r="A98" t="s">
        <v>11</v>
      </c>
      <c r="B98">
        <v>56000</v>
      </c>
      <c r="C98" t="s">
        <v>21</v>
      </c>
      <c r="D98">
        <v>1000000097</v>
      </c>
      <c r="E98" t="s">
        <v>25</v>
      </c>
    </row>
    <row r="99" spans="1:5" x14ac:dyDescent="0.3">
      <c r="A99" t="s">
        <v>12</v>
      </c>
      <c r="B99">
        <v>89000</v>
      </c>
      <c r="C99" t="s">
        <v>22</v>
      </c>
      <c r="D99">
        <v>1000000098</v>
      </c>
      <c r="E99" t="s">
        <v>26</v>
      </c>
    </row>
    <row r="100" spans="1:5" x14ac:dyDescent="0.3">
      <c r="A100" t="s">
        <v>13</v>
      </c>
      <c r="B100">
        <v>46000</v>
      </c>
      <c r="C100" t="s">
        <v>23</v>
      </c>
      <c r="D100">
        <v>1000000099</v>
      </c>
      <c r="E100" t="s">
        <v>25</v>
      </c>
    </row>
    <row r="101" spans="1:5" x14ac:dyDescent="0.3">
      <c r="A101" t="s">
        <v>14</v>
      </c>
      <c r="B101">
        <v>77000</v>
      </c>
      <c r="C101" t="s">
        <v>24</v>
      </c>
      <c r="D101">
        <v>1000000100</v>
      </c>
      <c r="E101" t="s">
        <v>26</v>
      </c>
    </row>
    <row r="102" spans="1:5" x14ac:dyDescent="0.3">
      <c r="A102" t="s">
        <v>5</v>
      </c>
      <c r="B102">
        <v>50000</v>
      </c>
      <c r="C102" t="s">
        <v>15</v>
      </c>
      <c r="D102">
        <v>1000000101</v>
      </c>
      <c r="E102" t="s">
        <v>25</v>
      </c>
    </row>
    <row r="103" spans="1:5" x14ac:dyDescent="0.3">
      <c r="A103" t="s">
        <v>6</v>
      </c>
      <c r="B103">
        <v>75000</v>
      </c>
      <c r="C103" t="s">
        <v>16</v>
      </c>
      <c r="D103">
        <v>1000000102</v>
      </c>
      <c r="E103" t="s">
        <v>26</v>
      </c>
    </row>
    <row r="104" spans="1:5" x14ac:dyDescent="0.3">
      <c r="A104" t="s">
        <v>7</v>
      </c>
      <c r="B104">
        <v>120000</v>
      </c>
      <c r="C104" t="s">
        <v>17</v>
      </c>
      <c r="D104">
        <v>1000000103</v>
      </c>
      <c r="E104" t="s">
        <v>25</v>
      </c>
    </row>
    <row r="105" spans="1:5" x14ac:dyDescent="0.3">
      <c r="A105" t="s">
        <v>8</v>
      </c>
      <c r="B105">
        <v>45000</v>
      </c>
      <c r="C105" t="s">
        <v>18</v>
      </c>
      <c r="D105">
        <v>1000000104</v>
      </c>
      <c r="E105" t="s">
        <v>26</v>
      </c>
    </row>
    <row r="106" spans="1:5" x14ac:dyDescent="0.3">
      <c r="A106" t="s">
        <v>9</v>
      </c>
      <c r="B106">
        <v>98000</v>
      </c>
      <c r="C106" t="s">
        <v>19</v>
      </c>
      <c r="D106">
        <v>1000000105</v>
      </c>
      <c r="E106" t="s">
        <v>25</v>
      </c>
    </row>
    <row r="107" spans="1:5" x14ac:dyDescent="0.3">
      <c r="A107" t="s">
        <v>10</v>
      </c>
      <c r="B107">
        <v>67000</v>
      </c>
      <c r="C107" t="s">
        <v>20</v>
      </c>
      <c r="D107">
        <v>1000000106</v>
      </c>
      <c r="E107" t="s">
        <v>26</v>
      </c>
    </row>
    <row r="108" spans="1:5" x14ac:dyDescent="0.3">
      <c r="A108" t="s">
        <v>11</v>
      </c>
      <c r="B108">
        <v>56000</v>
      </c>
      <c r="C108" t="s">
        <v>21</v>
      </c>
      <c r="D108">
        <v>1000000107</v>
      </c>
      <c r="E108" t="s">
        <v>25</v>
      </c>
    </row>
    <row r="109" spans="1:5" x14ac:dyDescent="0.3">
      <c r="A109" t="s">
        <v>12</v>
      </c>
      <c r="B109">
        <v>89000</v>
      </c>
      <c r="C109" t="s">
        <v>22</v>
      </c>
      <c r="D109">
        <v>1000000108</v>
      </c>
      <c r="E109" t="s">
        <v>26</v>
      </c>
    </row>
    <row r="110" spans="1:5" x14ac:dyDescent="0.3">
      <c r="A110" t="s">
        <v>13</v>
      </c>
      <c r="B110">
        <v>46000</v>
      </c>
      <c r="C110" t="s">
        <v>23</v>
      </c>
      <c r="D110">
        <v>1000000109</v>
      </c>
      <c r="E110" t="s">
        <v>25</v>
      </c>
    </row>
    <row r="111" spans="1:5" x14ac:dyDescent="0.3">
      <c r="A111" t="s">
        <v>14</v>
      </c>
      <c r="B111">
        <v>77000</v>
      </c>
      <c r="C111" t="s">
        <v>24</v>
      </c>
      <c r="D111">
        <v>1000000110</v>
      </c>
      <c r="E111" t="s">
        <v>26</v>
      </c>
    </row>
    <row r="112" spans="1:5" x14ac:dyDescent="0.3">
      <c r="A112" t="s">
        <v>5</v>
      </c>
      <c r="B112">
        <v>50000</v>
      </c>
      <c r="C112" t="s">
        <v>15</v>
      </c>
      <c r="D112">
        <v>1000000111</v>
      </c>
      <c r="E112" t="s">
        <v>25</v>
      </c>
    </row>
    <row r="113" spans="1:5" x14ac:dyDescent="0.3">
      <c r="A113" t="s">
        <v>6</v>
      </c>
      <c r="B113">
        <v>75000</v>
      </c>
      <c r="C113" t="s">
        <v>16</v>
      </c>
      <c r="D113">
        <v>1000000112</v>
      </c>
      <c r="E113" t="s">
        <v>26</v>
      </c>
    </row>
    <row r="114" spans="1:5" x14ac:dyDescent="0.3">
      <c r="A114" t="s">
        <v>7</v>
      </c>
      <c r="B114">
        <v>120000</v>
      </c>
      <c r="C114" t="s">
        <v>17</v>
      </c>
      <c r="D114">
        <v>1000000113</v>
      </c>
      <c r="E114" t="s">
        <v>25</v>
      </c>
    </row>
    <row r="115" spans="1:5" x14ac:dyDescent="0.3">
      <c r="A115" t="s">
        <v>8</v>
      </c>
      <c r="B115">
        <v>45000</v>
      </c>
      <c r="C115" t="s">
        <v>18</v>
      </c>
      <c r="D115">
        <v>1000000114</v>
      </c>
      <c r="E115" t="s">
        <v>26</v>
      </c>
    </row>
    <row r="116" spans="1:5" x14ac:dyDescent="0.3">
      <c r="A116" t="s">
        <v>9</v>
      </c>
      <c r="B116">
        <v>98000</v>
      </c>
      <c r="C116" t="s">
        <v>19</v>
      </c>
      <c r="D116">
        <v>1000000115</v>
      </c>
      <c r="E116" t="s">
        <v>25</v>
      </c>
    </row>
    <row r="117" spans="1:5" x14ac:dyDescent="0.3">
      <c r="A117" t="s">
        <v>10</v>
      </c>
      <c r="B117">
        <v>67000</v>
      </c>
      <c r="C117" t="s">
        <v>20</v>
      </c>
      <c r="D117">
        <v>1000000116</v>
      </c>
      <c r="E117" t="s">
        <v>26</v>
      </c>
    </row>
    <row r="118" spans="1:5" x14ac:dyDescent="0.3">
      <c r="A118" t="s">
        <v>11</v>
      </c>
      <c r="B118">
        <v>56000</v>
      </c>
      <c r="C118" t="s">
        <v>21</v>
      </c>
      <c r="D118">
        <v>1000000117</v>
      </c>
      <c r="E118" t="s">
        <v>25</v>
      </c>
    </row>
    <row r="119" spans="1:5" x14ac:dyDescent="0.3">
      <c r="A119" t="s">
        <v>12</v>
      </c>
      <c r="B119">
        <v>89000</v>
      </c>
      <c r="C119" t="s">
        <v>22</v>
      </c>
      <c r="D119">
        <v>1000000118</v>
      </c>
      <c r="E119" t="s">
        <v>26</v>
      </c>
    </row>
    <row r="120" spans="1:5" x14ac:dyDescent="0.3">
      <c r="A120" t="s">
        <v>13</v>
      </c>
      <c r="B120">
        <v>46000</v>
      </c>
      <c r="C120" t="s">
        <v>23</v>
      </c>
      <c r="D120">
        <v>1000000119</v>
      </c>
      <c r="E120" t="s">
        <v>25</v>
      </c>
    </row>
    <row r="121" spans="1:5" x14ac:dyDescent="0.3">
      <c r="A121" t="s">
        <v>14</v>
      </c>
      <c r="B121">
        <v>77000</v>
      </c>
      <c r="C121" t="s">
        <v>24</v>
      </c>
      <c r="D121">
        <v>1000000120</v>
      </c>
      <c r="E121" t="s">
        <v>26</v>
      </c>
    </row>
    <row r="122" spans="1:5" x14ac:dyDescent="0.3">
      <c r="A122" t="s">
        <v>5</v>
      </c>
      <c r="B122">
        <v>50000</v>
      </c>
      <c r="C122" t="s">
        <v>15</v>
      </c>
      <c r="D122">
        <v>1000000121</v>
      </c>
      <c r="E122" t="s">
        <v>25</v>
      </c>
    </row>
    <row r="123" spans="1:5" x14ac:dyDescent="0.3">
      <c r="A123" t="s">
        <v>6</v>
      </c>
      <c r="B123">
        <v>75000</v>
      </c>
      <c r="C123" t="s">
        <v>16</v>
      </c>
      <c r="D123">
        <v>1000000122</v>
      </c>
      <c r="E123" t="s">
        <v>26</v>
      </c>
    </row>
    <row r="124" spans="1:5" x14ac:dyDescent="0.3">
      <c r="A124" t="s">
        <v>7</v>
      </c>
      <c r="B124">
        <v>120000</v>
      </c>
      <c r="C124" t="s">
        <v>17</v>
      </c>
      <c r="D124">
        <v>1000000123</v>
      </c>
      <c r="E124" t="s">
        <v>25</v>
      </c>
    </row>
    <row r="125" spans="1:5" x14ac:dyDescent="0.3">
      <c r="A125" t="s">
        <v>8</v>
      </c>
      <c r="B125">
        <v>45000</v>
      </c>
      <c r="C125" t="s">
        <v>18</v>
      </c>
      <c r="D125">
        <v>1000000124</v>
      </c>
      <c r="E125" t="s">
        <v>26</v>
      </c>
    </row>
    <row r="126" spans="1:5" x14ac:dyDescent="0.3">
      <c r="A126" t="s">
        <v>9</v>
      </c>
      <c r="B126">
        <v>98000</v>
      </c>
      <c r="C126" t="s">
        <v>19</v>
      </c>
      <c r="D126">
        <v>1000000125</v>
      </c>
      <c r="E126" t="s">
        <v>25</v>
      </c>
    </row>
    <row r="127" spans="1:5" x14ac:dyDescent="0.3">
      <c r="A127" t="s">
        <v>10</v>
      </c>
      <c r="B127">
        <v>67000</v>
      </c>
      <c r="C127" t="s">
        <v>20</v>
      </c>
      <c r="D127">
        <v>1000000126</v>
      </c>
      <c r="E127" t="s">
        <v>26</v>
      </c>
    </row>
    <row r="128" spans="1:5" x14ac:dyDescent="0.3">
      <c r="A128" t="s">
        <v>11</v>
      </c>
      <c r="B128">
        <v>56000</v>
      </c>
      <c r="C128" t="s">
        <v>21</v>
      </c>
      <c r="D128">
        <v>1000000127</v>
      </c>
      <c r="E128" t="s">
        <v>25</v>
      </c>
    </row>
    <row r="129" spans="1:5" x14ac:dyDescent="0.3">
      <c r="A129" t="s">
        <v>12</v>
      </c>
      <c r="B129">
        <v>89000</v>
      </c>
      <c r="C129" t="s">
        <v>22</v>
      </c>
      <c r="D129">
        <v>1000000128</v>
      </c>
      <c r="E129" t="s">
        <v>26</v>
      </c>
    </row>
    <row r="130" spans="1:5" x14ac:dyDescent="0.3">
      <c r="A130" t="s">
        <v>13</v>
      </c>
      <c r="B130">
        <v>46000</v>
      </c>
      <c r="C130" t="s">
        <v>23</v>
      </c>
      <c r="D130">
        <v>1000000129</v>
      </c>
      <c r="E130" t="s">
        <v>25</v>
      </c>
    </row>
    <row r="131" spans="1:5" x14ac:dyDescent="0.3">
      <c r="A131" t="s">
        <v>14</v>
      </c>
      <c r="B131">
        <v>77000</v>
      </c>
      <c r="C131" t="s">
        <v>24</v>
      </c>
      <c r="D131">
        <v>1000000130</v>
      </c>
      <c r="E131" t="s">
        <v>26</v>
      </c>
    </row>
    <row r="132" spans="1:5" x14ac:dyDescent="0.3">
      <c r="A132" t="s">
        <v>5</v>
      </c>
      <c r="B132">
        <v>50000</v>
      </c>
      <c r="C132" t="s">
        <v>15</v>
      </c>
      <c r="D132">
        <v>1000000131</v>
      </c>
      <c r="E132" t="s">
        <v>25</v>
      </c>
    </row>
    <row r="133" spans="1:5" x14ac:dyDescent="0.3">
      <c r="A133" t="s">
        <v>6</v>
      </c>
      <c r="B133">
        <v>75000</v>
      </c>
      <c r="C133" t="s">
        <v>16</v>
      </c>
      <c r="D133">
        <v>1000000132</v>
      </c>
      <c r="E133" t="s">
        <v>26</v>
      </c>
    </row>
    <row r="134" spans="1:5" x14ac:dyDescent="0.3">
      <c r="A134" t="s">
        <v>7</v>
      </c>
      <c r="B134">
        <v>120000</v>
      </c>
      <c r="C134" t="s">
        <v>17</v>
      </c>
      <c r="D134">
        <v>1000000133</v>
      </c>
      <c r="E134" t="s">
        <v>25</v>
      </c>
    </row>
    <row r="135" spans="1:5" x14ac:dyDescent="0.3">
      <c r="A135" t="s">
        <v>8</v>
      </c>
      <c r="B135">
        <v>45000</v>
      </c>
      <c r="C135" t="s">
        <v>18</v>
      </c>
      <c r="D135">
        <v>1000000134</v>
      </c>
      <c r="E135" t="s">
        <v>26</v>
      </c>
    </row>
    <row r="136" spans="1:5" x14ac:dyDescent="0.3">
      <c r="A136" t="s">
        <v>9</v>
      </c>
      <c r="B136">
        <v>98000</v>
      </c>
      <c r="C136" t="s">
        <v>19</v>
      </c>
      <c r="D136">
        <v>1000000135</v>
      </c>
      <c r="E136" t="s">
        <v>25</v>
      </c>
    </row>
    <row r="137" spans="1:5" x14ac:dyDescent="0.3">
      <c r="A137" t="s">
        <v>10</v>
      </c>
      <c r="B137">
        <v>67000</v>
      </c>
      <c r="C137" t="s">
        <v>20</v>
      </c>
      <c r="D137">
        <v>1000000136</v>
      </c>
      <c r="E137" t="s">
        <v>26</v>
      </c>
    </row>
    <row r="138" spans="1:5" x14ac:dyDescent="0.3">
      <c r="A138" t="s">
        <v>11</v>
      </c>
      <c r="B138">
        <v>56000</v>
      </c>
      <c r="C138" t="s">
        <v>21</v>
      </c>
      <c r="D138">
        <v>1000000137</v>
      </c>
      <c r="E138" t="s">
        <v>25</v>
      </c>
    </row>
    <row r="139" spans="1:5" x14ac:dyDescent="0.3">
      <c r="A139" t="s">
        <v>12</v>
      </c>
      <c r="B139">
        <v>89000</v>
      </c>
      <c r="C139" t="s">
        <v>22</v>
      </c>
      <c r="D139">
        <v>1000000138</v>
      </c>
      <c r="E139" t="s">
        <v>26</v>
      </c>
    </row>
    <row r="140" spans="1:5" x14ac:dyDescent="0.3">
      <c r="A140" t="s">
        <v>13</v>
      </c>
      <c r="B140">
        <v>46000</v>
      </c>
      <c r="C140" t="s">
        <v>23</v>
      </c>
      <c r="D140">
        <v>1000000139</v>
      </c>
      <c r="E140" t="s">
        <v>25</v>
      </c>
    </row>
    <row r="141" spans="1:5" x14ac:dyDescent="0.3">
      <c r="A141" t="s">
        <v>14</v>
      </c>
      <c r="B141">
        <v>77000</v>
      </c>
      <c r="C141" t="s">
        <v>24</v>
      </c>
      <c r="D141">
        <v>1000000140</v>
      </c>
      <c r="E141" t="s">
        <v>26</v>
      </c>
    </row>
    <row r="142" spans="1:5" x14ac:dyDescent="0.3">
      <c r="A142" t="s">
        <v>5</v>
      </c>
      <c r="B142">
        <v>50000</v>
      </c>
      <c r="C142" t="s">
        <v>15</v>
      </c>
      <c r="D142">
        <v>1000000141</v>
      </c>
      <c r="E142" t="s">
        <v>25</v>
      </c>
    </row>
    <row r="143" spans="1:5" x14ac:dyDescent="0.3">
      <c r="A143" t="s">
        <v>6</v>
      </c>
      <c r="B143">
        <v>75000</v>
      </c>
      <c r="C143" t="s">
        <v>16</v>
      </c>
      <c r="D143">
        <v>1000000142</v>
      </c>
      <c r="E143" t="s">
        <v>26</v>
      </c>
    </row>
    <row r="144" spans="1:5" x14ac:dyDescent="0.3">
      <c r="A144" t="s">
        <v>7</v>
      </c>
      <c r="B144">
        <v>120000</v>
      </c>
      <c r="C144" t="s">
        <v>17</v>
      </c>
      <c r="D144">
        <v>1000000143</v>
      </c>
      <c r="E144" t="s">
        <v>25</v>
      </c>
    </row>
    <row r="145" spans="1:5" x14ac:dyDescent="0.3">
      <c r="A145" t="s">
        <v>8</v>
      </c>
      <c r="B145">
        <v>45000</v>
      </c>
      <c r="C145" t="s">
        <v>18</v>
      </c>
      <c r="D145">
        <v>1000000144</v>
      </c>
      <c r="E145" t="s">
        <v>26</v>
      </c>
    </row>
    <row r="146" spans="1:5" x14ac:dyDescent="0.3">
      <c r="A146" t="s">
        <v>9</v>
      </c>
      <c r="B146">
        <v>98000</v>
      </c>
      <c r="C146" t="s">
        <v>19</v>
      </c>
      <c r="D146">
        <v>1000000145</v>
      </c>
      <c r="E146" t="s">
        <v>25</v>
      </c>
    </row>
    <row r="147" spans="1:5" x14ac:dyDescent="0.3">
      <c r="A147" t="s">
        <v>10</v>
      </c>
      <c r="B147">
        <v>67000</v>
      </c>
      <c r="C147" t="s">
        <v>20</v>
      </c>
      <c r="D147">
        <v>1000000146</v>
      </c>
      <c r="E147" t="s">
        <v>26</v>
      </c>
    </row>
    <row r="148" spans="1:5" x14ac:dyDescent="0.3">
      <c r="A148" t="s">
        <v>11</v>
      </c>
      <c r="B148">
        <v>56000</v>
      </c>
      <c r="C148" t="s">
        <v>21</v>
      </c>
      <c r="D148">
        <v>1000000147</v>
      </c>
      <c r="E148" t="s">
        <v>25</v>
      </c>
    </row>
    <row r="149" spans="1:5" x14ac:dyDescent="0.3">
      <c r="A149" t="s">
        <v>12</v>
      </c>
      <c r="B149">
        <v>89000</v>
      </c>
      <c r="C149" t="s">
        <v>22</v>
      </c>
      <c r="D149">
        <v>1000000148</v>
      </c>
      <c r="E149" t="s">
        <v>26</v>
      </c>
    </row>
    <row r="150" spans="1:5" x14ac:dyDescent="0.3">
      <c r="A150" t="s">
        <v>13</v>
      </c>
      <c r="B150">
        <v>46000</v>
      </c>
      <c r="C150" t="s">
        <v>23</v>
      </c>
      <c r="D150">
        <v>1000000149</v>
      </c>
      <c r="E150" t="s">
        <v>25</v>
      </c>
    </row>
    <row r="151" spans="1:5" x14ac:dyDescent="0.3">
      <c r="A151" t="s">
        <v>14</v>
      </c>
      <c r="B151">
        <v>77000</v>
      </c>
      <c r="C151" t="s">
        <v>24</v>
      </c>
      <c r="D151">
        <v>1000000150</v>
      </c>
      <c r="E151" t="s">
        <v>26</v>
      </c>
    </row>
    <row r="152" spans="1:5" x14ac:dyDescent="0.3">
      <c r="A152" t="s">
        <v>5</v>
      </c>
      <c r="B152">
        <v>50000</v>
      </c>
      <c r="C152" t="s">
        <v>15</v>
      </c>
      <c r="D152">
        <v>1000000151</v>
      </c>
      <c r="E152" t="s">
        <v>25</v>
      </c>
    </row>
    <row r="153" spans="1:5" x14ac:dyDescent="0.3">
      <c r="A153" t="s">
        <v>6</v>
      </c>
      <c r="B153">
        <v>75000</v>
      </c>
      <c r="C153" t="s">
        <v>16</v>
      </c>
      <c r="D153">
        <v>1000000152</v>
      </c>
      <c r="E153" t="s">
        <v>26</v>
      </c>
    </row>
    <row r="154" spans="1:5" x14ac:dyDescent="0.3">
      <c r="A154" t="s">
        <v>7</v>
      </c>
      <c r="B154">
        <v>120000</v>
      </c>
      <c r="C154" t="s">
        <v>17</v>
      </c>
      <c r="D154">
        <v>1000000153</v>
      </c>
      <c r="E154" t="s">
        <v>25</v>
      </c>
    </row>
    <row r="155" spans="1:5" x14ac:dyDescent="0.3">
      <c r="A155" t="s">
        <v>8</v>
      </c>
      <c r="B155">
        <v>45000</v>
      </c>
      <c r="C155" t="s">
        <v>18</v>
      </c>
      <c r="D155">
        <v>1000000154</v>
      </c>
      <c r="E155" t="s">
        <v>26</v>
      </c>
    </row>
    <row r="156" spans="1:5" x14ac:dyDescent="0.3">
      <c r="A156" t="s">
        <v>9</v>
      </c>
      <c r="B156">
        <v>98000</v>
      </c>
      <c r="C156" t="s">
        <v>19</v>
      </c>
      <c r="D156">
        <v>1000000155</v>
      </c>
      <c r="E156" t="s">
        <v>25</v>
      </c>
    </row>
    <row r="157" spans="1:5" x14ac:dyDescent="0.3">
      <c r="A157" t="s">
        <v>10</v>
      </c>
      <c r="B157">
        <v>67000</v>
      </c>
      <c r="C157" t="s">
        <v>20</v>
      </c>
      <c r="D157">
        <v>1000000156</v>
      </c>
      <c r="E157" t="s">
        <v>26</v>
      </c>
    </row>
    <row r="158" spans="1:5" x14ac:dyDescent="0.3">
      <c r="A158" t="s">
        <v>11</v>
      </c>
      <c r="B158">
        <v>56000</v>
      </c>
      <c r="C158" t="s">
        <v>21</v>
      </c>
      <c r="D158">
        <v>1000000157</v>
      </c>
      <c r="E158" t="s">
        <v>25</v>
      </c>
    </row>
    <row r="159" spans="1:5" x14ac:dyDescent="0.3">
      <c r="A159" t="s">
        <v>12</v>
      </c>
      <c r="B159">
        <v>89000</v>
      </c>
      <c r="C159" t="s">
        <v>22</v>
      </c>
      <c r="D159">
        <v>1000000158</v>
      </c>
      <c r="E159" t="s">
        <v>26</v>
      </c>
    </row>
    <row r="160" spans="1:5" x14ac:dyDescent="0.3">
      <c r="A160" t="s">
        <v>13</v>
      </c>
      <c r="B160">
        <v>46000</v>
      </c>
      <c r="C160" t="s">
        <v>23</v>
      </c>
      <c r="D160">
        <v>1000000159</v>
      </c>
      <c r="E160" t="s">
        <v>25</v>
      </c>
    </row>
    <row r="161" spans="1:5" x14ac:dyDescent="0.3">
      <c r="A161" t="s">
        <v>14</v>
      </c>
      <c r="B161">
        <v>77000</v>
      </c>
      <c r="C161" t="s">
        <v>24</v>
      </c>
      <c r="D161">
        <v>1000000160</v>
      </c>
      <c r="E161" t="s">
        <v>26</v>
      </c>
    </row>
    <row r="162" spans="1:5" x14ac:dyDescent="0.3">
      <c r="A162" t="s">
        <v>5</v>
      </c>
      <c r="B162">
        <v>50000</v>
      </c>
      <c r="C162" t="s">
        <v>15</v>
      </c>
      <c r="D162">
        <v>1000000161</v>
      </c>
      <c r="E162" t="s">
        <v>25</v>
      </c>
    </row>
    <row r="163" spans="1:5" x14ac:dyDescent="0.3">
      <c r="A163" t="s">
        <v>6</v>
      </c>
      <c r="B163">
        <v>75000</v>
      </c>
      <c r="C163" t="s">
        <v>16</v>
      </c>
      <c r="D163">
        <v>1000000162</v>
      </c>
      <c r="E163" t="s">
        <v>26</v>
      </c>
    </row>
    <row r="164" spans="1:5" x14ac:dyDescent="0.3">
      <c r="A164" t="s">
        <v>7</v>
      </c>
      <c r="B164">
        <v>120000</v>
      </c>
      <c r="C164" t="s">
        <v>17</v>
      </c>
      <c r="D164">
        <v>1000000163</v>
      </c>
      <c r="E164" t="s">
        <v>25</v>
      </c>
    </row>
    <row r="165" spans="1:5" x14ac:dyDescent="0.3">
      <c r="A165" t="s">
        <v>8</v>
      </c>
      <c r="B165">
        <v>45000</v>
      </c>
      <c r="C165" t="s">
        <v>18</v>
      </c>
      <c r="D165">
        <v>1000000164</v>
      </c>
      <c r="E165" t="s">
        <v>26</v>
      </c>
    </row>
    <row r="166" spans="1:5" x14ac:dyDescent="0.3">
      <c r="A166" t="s">
        <v>9</v>
      </c>
      <c r="B166">
        <v>98000</v>
      </c>
      <c r="C166" t="s">
        <v>19</v>
      </c>
      <c r="D166">
        <v>1000000165</v>
      </c>
      <c r="E166" t="s">
        <v>25</v>
      </c>
    </row>
    <row r="167" spans="1:5" x14ac:dyDescent="0.3">
      <c r="A167" t="s">
        <v>10</v>
      </c>
      <c r="B167">
        <v>67000</v>
      </c>
      <c r="C167" t="s">
        <v>20</v>
      </c>
      <c r="D167">
        <v>1000000166</v>
      </c>
      <c r="E167" t="s">
        <v>26</v>
      </c>
    </row>
    <row r="168" spans="1:5" x14ac:dyDescent="0.3">
      <c r="A168" t="s">
        <v>11</v>
      </c>
      <c r="B168">
        <v>56000</v>
      </c>
      <c r="C168" t="s">
        <v>21</v>
      </c>
      <c r="D168">
        <v>1000000167</v>
      </c>
      <c r="E168" t="s">
        <v>25</v>
      </c>
    </row>
    <row r="169" spans="1:5" x14ac:dyDescent="0.3">
      <c r="A169" t="s">
        <v>12</v>
      </c>
      <c r="B169">
        <v>89000</v>
      </c>
      <c r="C169" t="s">
        <v>22</v>
      </c>
      <c r="D169">
        <v>1000000168</v>
      </c>
      <c r="E169" t="s">
        <v>26</v>
      </c>
    </row>
    <row r="170" spans="1:5" x14ac:dyDescent="0.3">
      <c r="A170" t="s">
        <v>13</v>
      </c>
      <c r="B170">
        <v>46000</v>
      </c>
      <c r="C170" t="s">
        <v>23</v>
      </c>
      <c r="D170">
        <v>1000000169</v>
      </c>
      <c r="E170" t="s">
        <v>25</v>
      </c>
    </row>
    <row r="171" spans="1:5" x14ac:dyDescent="0.3">
      <c r="A171" t="s">
        <v>14</v>
      </c>
      <c r="B171">
        <v>77000</v>
      </c>
      <c r="C171" t="s">
        <v>24</v>
      </c>
      <c r="D171">
        <v>1000000170</v>
      </c>
      <c r="E171" t="s">
        <v>26</v>
      </c>
    </row>
    <row r="172" spans="1:5" x14ac:dyDescent="0.3">
      <c r="A172" t="s">
        <v>5</v>
      </c>
      <c r="B172">
        <v>50000</v>
      </c>
      <c r="C172" t="s">
        <v>15</v>
      </c>
      <c r="D172">
        <v>1000000171</v>
      </c>
      <c r="E172" t="s">
        <v>25</v>
      </c>
    </row>
    <row r="173" spans="1:5" x14ac:dyDescent="0.3">
      <c r="A173" t="s">
        <v>6</v>
      </c>
      <c r="B173">
        <v>75000</v>
      </c>
      <c r="C173" t="s">
        <v>16</v>
      </c>
      <c r="D173">
        <v>1000000172</v>
      </c>
      <c r="E173" t="s">
        <v>26</v>
      </c>
    </row>
    <row r="174" spans="1:5" x14ac:dyDescent="0.3">
      <c r="A174" t="s">
        <v>7</v>
      </c>
      <c r="B174">
        <v>120000</v>
      </c>
      <c r="C174" t="s">
        <v>17</v>
      </c>
      <c r="D174">
        <v>1000000173</v>
      </c>
      <c r="E174" t="s">
        <v>25</v>
      </c>
    </row>
    <row r="175" spans="1:5" x14ac:dyDescent="0.3">
      <c r="A175" t="s">
        <v>8</v>
      </c>
      <c r="B175">
        <v>45000</v>
      </c>
      <c r="C175" t="s">
        <v>18</v>
      </c>
      <c r="D175">
        <v>1000000174</v>
      </c>
      <c r="E175" t="s">
        <v>26</v>
      </c>
    </row>
    <row r="176" spans="1:5" x14ac:dyDescent="0.3">
      <c r="A176" t="s">
        <v>9</v>
      </c>
      <c r="B176">
        <v>98000</v>
      </c>
      <c r="C176" t="s">
        <v>19</v>
      </c>
      <c r="D176">
        <v>1000000175</v>
      </c>
      <c r="E176" t="s">
        <v>25</v>
      </c>
    </row>
    <row r="177" spans="1:5" x14ac:dyDescent="0.3">
      <c r="A177" t="s">
        <v>10</v>
      </c>
      <c r="B177">
        <v>67000</v>
      </c>
      <c r="C177" t="s">
        <v>20</v>
      </c>
      <c r="D177">
        <v>1000000176</v>
      </c>
      <c r="E177" t="s">
        <v>26</v>
      </c>
    </row>
    <row r="178" spans="1:5" x14ac:dyDescent="0.3">
      <c r="A178" t="s">
        <v>11</v>
      </c>
      <c r="B178">
        <v>56000</v>
      </c>
      <c r="C178" t="s">
        <v>21</v>
      </c>
      <c r="D178">
        <v>1000000177</v>
      </c>
      <c r="E178" t="s">
        <v>25</v>
      </c>
    </row>
    <row r="179" spans="1:5" x14ac:dyDescent="0.3">
      <c r="A179" t="s">
        <v>12</v>
      </c>
      <c r="B179">
        <v>89000</v>
      </c>
      <c r="C179" t="s">
        <v>22</v>
      </c>
      <c r="D179">
        <v>1000000178</v>
      </c>
      <c r="E179" t="s">
        <v>26</v>
      </c>
    </row>
    <row r="180" spans="1:5" x14ac:dyDescent="0.3">
      <c r="A180" t="s">
        <v>13</v>
      </c>
      <c r="B180">
        <v>46000</v>
      </c>
      <c r="C180" t="s">
        <v>23</v>
      </c>
      <c r="D180">
        <v>1000000179</v>
      </c>
      <c r="E180" t="s">
        <v>25</v>
      </c>
    </row>
    <row r="181" spans="1:5" x14ac:dyDescent="0.3">
      <c r="A181" t="s">
        <v>14</v>
      </c>
      <c r="B181">
        <v>77000</v>
      </c>
      <c r="C181" t="s">
        <v>24</v>
      </c>
      <c r="D181">
        <v>1000000180</v>
      </c>
      <c r="E181" t="s">
        <v>26</v>
      </c>
    </row>
    <row r="182" spans="1:5" x14ac:dyDescent="0.3">
      <c r="A182" t="s">
        <v>5</v>
      </c>
      <c r="B182">
        <v>50000</v>
      </c>
      <c r="C182" t="s">
        <v>15</v>
      </c>
      <c r="D182">
        <v>1000000181</v>
      </c>
      <c r="E182" t="s">
        <v>25</v>
      </c>
    </row>
    <row r="183" spans="1:5" x14ac:dyDescent="0.3">
      <c r="A183" t="s">
        <v>6</v>
      </c>
      <c r="B183">
        <v>75000</v>
      </c>
      <c r="C183" t="s">
        <v>16</v>
      </c>
      <c r="D183">
        <v>1000000182</v>
      </c>
      <c r="E183" t="s">
        <v>26</v>
      </c>
    </row>
    <row r="184" spans="1:5" x14ac:dyDescent="0.3">
      <c r="A184" t="s">
        <v>7</v>
      </c>
      <c r="B184">
        <v>120000</v>
      </c>
      <c r="C184" t="s">
        <v>17</v>
      </c>
      <c r="D184">
        <v>1000000183</v>
      </c>
      <c r="E184" t="s">
        <v>25</v>
      </c>
    </row>
    <row r="185" spans="1:5" x14ac:dyDescent="0.3">
      <c r="A185" t="s">
        <v>8</v>
      </c>
      <c r="B185">
        <v>45000</v>
      </c>
      <c r="C185" t="s">
        <v>18</v>
      </c>
      <c r="D185">
        <v>1000000184</v>
      </c>
      <c r="E185" t="s">
        <v>26</v>
      </c>
    </row>
    <row r="186" spans="1:5" x14ac:dyDescent="0.3">
      <c r="A186" t="s">
        <v>9</v>
      </c>
      <c r="B186">
        <v>98000</v>
      </c>
      <c r="C186" t="s">
        <v>19</v>
      </c>
      <c r="D186">
        <v>1000000185</v>
      </c>
      <c r="E186" t="s">
        <v>25</v>
      </c>
    </row>
    <row r="187" spans="1:5" x14ac:dyDescent="0.3">
      <c r="A187" t="s">
        <v>10</v>
      </c>
      <c r="B187">
        <v>67000</v>
      </c>
      <c r="C187" t="s">
        <v>20</v>
      </c>
      <c r="D187">
        <v>1000000186</v>
      </c>
      <c r="E187" t="s">
        <v>26</v>
      </c>
    </row>
    <row r="188" spans="1:5" x14ac:dyDescent="0.3">
      <c r="A188" t="s">
        <v>11</v>
      </c>
      <c r="B188">
        <v>56000</v>
      </c>
      <c r="C188" t="s">
        <v>21</v>
      </c>
      <c r="D188">
        <v>1000000187</v>
      </c>
      <c r="E188" t="s">
        <v>25</v>
      </c>
    </row>
    <row r="189" spans="1:5" x14ac:dyDescent="0.3">
      <c r="A189" t="s">
        <v>12</v>
      </c>
      <c r="B189">
        <v>89000</v>
      </c>
      <c r="C189" t="s">
        <v>22</v>
      </c>
      <c r="D189">
        <v>1000000188</v>
      </c>
      <c r="E189" t="s">
        <v>26</v>
      </c>
    </row>
    <row r="190" spans="1:5" x14ac:dyDescent="0.3">
      <c r="A190" t="s">
        <v>13</v>
      </c>
      <c r="B190">
        <v>46000</v>
      </c>
      <c r="C190" t="s">
        <v>23</v>
      </c>
      <c r="D190">
        <v>1000000189</v>
      </c>
      <c r="E190" t="s">
        <v>25</v>
      </c>
    </row>
    <row r="191" spans="1:5" x14ac:dyDescent="0.3">
      <c r="A191" t="s">
        <v>14</v>
      </c>
      <c r="B191">
        <v>77000</v>
      </c>
      <c r="C191" t="s">
        <v>24</v>
      </c>
      <c r="D191">
        <v>1000000190</v>
      </c>
      <c r="E191" t="s">
        <v>26</v>
      </c>
    </row>
    <row r="192" spans="1:5" x14ac:dyDescent="0.3">
      <c r="A192" t="s">
        <v>5</v>
      </c>
      <c r="B192">
        <v>50000</v>
      </c>
      <c r="C192" t="s">
        <v>15</v>
      </c>
      <c r="D192">
        <v>1000000191</v>
      </c>
      <c r="E192" t="s">
        <v>25</v>
      </c>
    </row>
    <row r="193" spans="1:5" x14ac:dyDescent="0.3">
      <c r="A193" t="s">
        <v>6</v>
      </c>
      <c r="B193">
        <v>75000</v>
      </c>
      <c r="C193" t="s">
        <v>16</v>
      </c>
      <c r="D193">
        <v>1000000192</v>
      </c>
      <c r="E193" t="s">
        <v>26</v>
      </c>
    </row>
    <row r="194" spans="1:5" x14ac:dyDescent="0.3">
      <c r="A194" t="s">
        <v>7</v>
      </c>
      <c r="B194">
        <v>120000</v>
      </c>
      <c r="C194" t="s">
        <v>17</v>
      </c>
      <c r="D194">
        <v>1000000193</v>
      </c>
      <c r="E194" t="s">
        <v>25</v>
      </c>
    </row>
    <row r="195" spans="1:5" x14ac:dyDescent="0.3">
      <c r="A195" t="s">
        <v>8</v>
      </c>
      <c r="B195">
        <v>45000</v>
      </c>
      <c r="C195" t="s">
        <v>18</v>
      </c>
      <c r="D195">
        <v>1000000194</v>
      </c>
      <c r="E195" t="s">
        <v>26</v>
      </c>
    </row>
    <row r="196" spans="1:5" x14ac:dyDescent="0.3">
      <c r="A196" t="s">
        <v>9</v>
      </c>
      <c r="B196">
        <v>98000</v>
      </c>
      <c r="C196" t="s">
        <v>19</v>
      </c>
      <c r="D196">
        <v>1000000195</v>
      </c>
      <c r="E196" t="s">
        <v>25</v>
      </c>
    </row>
    <row r="197" spans="1:5" x14ac:dyDescent="0.3">
      <c r="A197" t="s">
        <v>10</v>
      </c>
      <c r="B197">
        <v>67000</v>
      </c>
      <c r="C197" t="s">
        <v>20</v>
      </c>
      <c r="D197">
        <v>1000000196</v>
      </c>
      <c r="E197" t="s">
        <v>26</v>
      </c>
    </row>
    <row r="198" spans="1:5" x14ac:dyDescent="0.3">
      <c r="A198" t="s">
        <v>11</v>
      </c>
      <c r="B198">
        <v>56000</v>
      </c>
      <c r="C198" t="s">
        <v>21</v>
      </c>
      <c r="D198">
        <v>1000000197</v>
      </c>
      <c r="E198" t="s">
        <v>25</v>
      </c>
    </row>
    <row r="199" spans="1:5" x14ac:dyDescent="0.3">
      <c r="A199" t="s">
        <v>12</v>
      </c>
      <c r="B199">
        <v>89000</v>
      </c>
      <c r="C199" t="s">
        <v>22</v>
      </c>
      <c r="D199">
        <v>1000000198</v>
      </c>
      <c r="E199" t="s">
        <v>26</v>
      </c>
    </row>
    <row r="200" spans="1:5" x14ac:dyDescent="0.3">
      <c r="A200" t="s">
        <v>13</v>
      </c>
      <c r="B200">
        <v>46000</v>
      </c>
      <c r="C200" t="s">
        <v>23</v>
      </c>
      <c r="D200">
        <v>1000000199</v>
      </c>
      <c r="E200" t="s">
        <v>25</v>
      </c>
    </row>
    <row r="201" spans="1:5" x14ac:dyDescent="0.3">
      <c r="A201" t="s">
        <v>14</v>
      </c>
      <c r="B201">
        <v>77000</v>
      </c>
      <c r="C201" t="s">
        <v>24</v>
      </c>
      <c r="D201">
        <v>1000000200</v>
      </c>
      <c r="E2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17C7-A3BB-44F5-BB4B-91D54C78A811}">
  <dimension ref="A1:I201"/>
  <sheetViews>
    <sheetView topLeftCell="B1" zoomScale="130" zoomScaleNormal="130" workbookViewId="0">
      <selection activeCell="H11" sqref="H11"/>
    </sheetView>
  </sheetViews>
  <sheetFormatPr defaultRowHeight="14.4" x14ac:dyDescent="0.3"/>
  <cols>
    <col min="1" max="1" width="15.21875" bestFit="1" customWidth="1"/>
    <col min="2" max="2" width="17.44140625" customWidth="1"/>
    <col min="3" max="3" width="12.33203125" bestFit="1" customWidth="1"/>
    <col min="4" max="4" width="10.6640625" bestFit="1" customWidth="1"/>
    <col min="5" max="5" width="12.5546875" bestFit="1" customWidth="1"/>
    <col min="8" max="8" width="17.88671875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 t="s">
        <v>5</v>
      </c>
      <c r="B2">
        <v>1000000001</v>
      </c>
      <c r="C2">
        <v>50000</v>
      </c>
      <c r="D2" t="s">
        <v>15</v>
      </c>
      <c r="E2" t="s">
        <v>25</v>
      </c>
    </row>
    <row r="3" spans="1:9" x14ac:dyDescent="0.3">
      <c r="A3" t="s">
        <v>6</v>
      </c>
      <c r="B3">
        <v>1000000002</v>
      </c>
      <c r="C3">
        <v>75000</v>
      </c>
      <c r="D3" t="s">
        <v>16</v>
      </c>
      <c r="E3" t="s">
        <v>26</v>
      </c>
      <c r="H3" s="2" t="s">
        <v>1</v>
      </c>
      <c r="I3">
        <v>565656</v>
      </c>
    </row>
    <row r="4" spans="1:9" x14ac:dyDescent="0.3">
      <c r="A4" t="s">
        <v>7</v>
      </c>
      <c r="B4">
        <v>1000000003</v>
      </c>
      <c r="C4">
        <v>120000</v>
      </c>
      <c r="D4" t="s">
        <v>17</v>
      </c>
      <c r="E4" t="s">
        <v>25</v>
      </c>
      <c r="H4" s="2" t="s">
        <v>0</v>
      </c>
      <c r="I4" t="str" cm="1">
        <f t="array" ref="I4">_xlfn.XLOOKUP($I$3,$B$1:$B$201,INDEX($A$1:$E$201,,MATCH(H4,$A$1:$E$1,0)),"Wrong Account No.")</f>
        <v>Wrong Account No.</v>
      </c>
    </row>
    <row r="5" spans="1:9" x14ac:dyDescent="0.3">
      <c r="A5" t="s">
        <v>8</v>
      </c>
      <c r="B5">
        <v>1000000004</v>
      </c>
      <c r="C5">
        <v>45000</v>
      </c>
      <c r="D5" t="s">
        <v>18</v>
      </c>
      <c r="E5" t="s">
        <v>26</v>
      </c>
      <c r="H5" s="2" t="s">
        <v>3</v>
      </c>
      <c r="I5" t="str" cm="1">
        <f t="array" ref="I5">_xlfn.XLOOKUP($I$3,$B$1:$B$201,INDEX($A$1:$E$201,,MATCH(H5,$A$1:$E$1,0)),"Wrong Account No.")</f>
        <v>Wrong Account No.</v>
      </c>
    </row>
    <row r="6" spans="1:9" x14ac:dyDescent="0.3">
      <c r="A6" t="s">
        <v>9</v>
      </c>
      <c r="B6">
        <v>1000000005</v>
      </c>
      <c r="C6">
        <v>98000</v>
      </c>
      <c r="D6" t="s">
        <v>19</v>
      </c>
      <c r="E6" t="s">
        <v>25</v>
      </c>
      <c r="H6" s="2" t="s">
        <v>2</v>
      </c>
      <c r="I6" t="str" cm="1">
        <f t="array" ref="I6">_xlfn.XLOOKUP($I$3,$B$1:$B$201,INDEX($A$1:$E$201,,MATCH(H6,$A$1:$E$1,0)),"Wrong Account No.")</f>
        <v>Wrong Account No.</v>
      </c>
    </row>
    <row r="7" spans="1:9" x14ac:dyDescent="0.3">
      <c r="A7" t="s">
        <v>10</v>
      </c>
      <c r="B7">
        <v>1000000006</v>
      </c>
      <c r="C7">
        <v>67000</v>
      </c>
      <c r="D7" t="s">
        <v>20</v>
      </c>
      <c r="E7" t="s">
        <v>26</v>
      </c>
      <c r="H7" s="2" t="s">
        <v>4</v>
      </c>
      <c r="I7" t="str" cm="1">
        <f t="array" ref="I7">_xlfn.XLOOKUP($I$3,$B$1:$B$201,INDEX($A$1:$E$201,,MATCH(H7,$A$1:$E$1,0)),"Wrong Account No.")</f>
        <v>Wrong Account No.</v>
      </c>
    </row>
    <row r="8" spans="1:9" x14ac:dyDescent="0.3">
      <c r="A8" t="s">
        <v>11</v>
      </c>
      <c r="B8">
        <v>1000000007</v>
      </c>
      <c r="C8">
        <v>56000</v>
      </c>
      <c r="D8" t="s">
        <v>21</v>
      </c>
      <c r="E8" t="s">
        <v>25</v>
      </c>
      <c r="H8" s="2"/>
    </row>
    <row r="9" spans="1:9" x14ac:dyDescent="0.3">
      <c r="A9" t="s">
        <v>12</v>
      </c>
      <c r="B9">
        <v>1000000008</v>
      </c>
      <c r="C9">
        <v>89000</v>
      </c>
      <c r="D9" t="s">
        <v>22</v>
      </c>
      <c r="E9" t="s">
        <v>26</v>
      </c>
      <c r="H9" s="2"/>
    </row>
    <row r="10" spans="1:9" x14ac:dyDescent="0.3">
      <c r="A10" t="s">
        <v>13</v>
      </c>
      <c r="B10">
        <v>1000000009</v>
      </c>
      <c r="C10">
        <v>46000</v>
      </c>
      <c r="D10" t="s">
        <v>23</v>
      </c>
      <c r="E10" t="s">
        <v>25</v>
      </c>
      <c r="H10" s="2"/>
    </row>
    <row r="11" spans="1:9" x14ac:dyDescent="0.3">
      <c r="A11" t="s">
        <v>14</v>
      </c>
      <c r="B11">
        <v>1000000010</v>
      </c>
      <c r="C11">
        <v>77000</v>
      </c>
      <c r="D11" t="s">
        <v>24</v>
      </c>
      <c r="E11" t="s">
        <v>26</v>
      </c>
    </row>
    <row r="12" spans="1:9" x14ac:dyDescent="0.3">
      <c r="A12" t="s">
        <v>5</v>
      </c>
      <c r="B12">
        <v>1000000011</v>
      </c>
      <c r="C12">
        <v>50000</v>
      </c>
      <c r="D12" t="s">
        <v>15</v>
      </c>
      <c r="E12" t="s">
        <v>25</v>
      </c>
    </row>
    <row r="13" spans="1:9" x14ac:dyDescent="0.3">
      <c r="A13" t="s">
        <v>6</v>
      </c>
      <c r="B13">
        <v>1000000012</v>
      </c>
      <c r="C13">
        <v>75000</v>
      </c>
      <c r="D13" t="s">
        <v>16</v>
      </c>
      <c r="E13" t="s">
        <v>26</v>
      </c>
    </row>
    <row r="14" spans="1:9" x14ac:dyDescent="0.3">
      <c r="A14" t="s">
        <v>7</v>
      </c>
      <c r="B14">
        <v>1000000013</v>
      </c>
      <c r="C14">
        <v>120000</v>
      </c>
      <c r="D14" t="s">
        <v>17</v>
      </c>
      <c r="E14" t="s">
        <v>25</v>
      </c>
    </row>
    <row r="15" spans="1:9" x14ac:dyDescent="0.3">
      <c r="A15" t="s">
        <v>8</v>
      </c>
      <c r="B15">
        <v>1000000014</v>
      </c>
      <c r="C15">
        <v>45000</v>
      </c>
      <c r="D15" t="s">
        <v>18</v>
      </c>
      <c r="E15" t="s">
        <v>26</v>
      </c>
    </row>
    <row r="16" spans="1:9" x14ac:dyDescent="0.3">
      <c r="A16" t="s">
        <v>9</v>
      </c>
      <c r="B16">
        <v>1000000015</v>
      </c>
      <c r="C16">
        <v>98000</v>
      </c>
      <c r="D16" t="s">
        <v>19</v>
      </c>
      <c r="E16" t="s">
        <v>25</v>
      </c>
    </row>
    <row r="17" spans="1:5" x14ac:dyDescent="0.3">
      <c r="A17" t="s">
        <v>10</v>
      </c>
      <c r="B17">
        <v>1000000016</v>
      </c>
      <c r="C17">
        <v>67000</v>
      </c>
      <c r="D17" t="s">
        <v>20</v>
      </c>
      <c r="E17" t="s">
        <v>26</v>
      </c>
    </row>
    <row r="18" spans="1:5" x14ac:dyDescent="0.3">
      <c r="A18" t="s">
        <v>11</v>
      </c>
      <c r="B18">
        <v>1000000017</v>
      </c>
      <c r="C18">
        <v>56000</v>
      </c>
      <c r="D18" t="s">
        <v>21</v>
      </c>
      <c r="E18" t="s">
        <v>25</v>
      </c>
    </row>
    <row r="19" spans="1:5" x14ac:dyDescent="0.3">
      <c r="A19" t="s">
        <v>12</v>
      </c>
      <c r="B19">
        <v>1000000018</v>
      </c>
      <c r="C19">
        <v>89000</v>
      </c>
      <c r="D19" t="s">
        <v>22</v>
      </c>
      <c r="E19" t="s">
        <v>26</v>
      </c>
    </row>
    <row r="20" spans="1:5" x14ac:dyDescent="0.3">
      <c r="A20" t="s">
        <v>13</v>
      </c>
      <c r="B20">
        <v>1000000019</v>
      </c>
      <c r="C20">
        <v>46000</v>
      </c>
      <c r="D20" t="s">
        <v>23</v>
      </c>
      <c r="E20" t="s">
        <v>25</v>
      </c>
    </row>
    <row r="21" spans="1:5" x14ac:dyDescent="0.3">
      <c r="A21" t="s">
        <v>14</v>
      </c>
      <c r="B21">
        <v>1000000020</v>
      </c>
      <c r="C21">
        <v>77000</v>
      </c>
      <c r="D21" t="s">
        <v>24</v>
      </c>
      <c r="E21" t="s">
        <v>26</v>
      </c>
    </row>
    <row r="22" spans="1:5" x14ac:dyDescent="0.3">
      <c r="A22" t="s">
        <v>5</v>
      </c>
      <c r="B22">
        <v>1000000021</v>
      </c>
      <c r="C22">
        <v>50000</v>
      </c>
      <c r="D22" t="s">
        <v>15</v>
      </c>
      <c r="E22" t="s">
        <v>25</v>
      </c>
    </row>
    <row r="23" spans="1:5" x14ac:dyDescent="0.3">
      <c r="A23" t="s">
        <v>6</v>
      </c>
      <c r="B23">
        <v>1000000022</v>
      </c>
      <c r="C23">
        <v>75000</v>
      </c>
      <c r="D23" t="s">
        <v>16</v>
      </c>
      <c r="E23" t="s">
        <v>26</v>
      </c>
    </row>
    <row r="24" spans="1:5" x14ac:dyDescent="0.3">
      <c r="A24" t="s">
        <v>7</v>
      </c>
      <c r="B24">
        <v>1000000023</v>
      </c>
      <c r="C24">
        <v>120000</v>
      </c>
      <c r="D24" t="s">
        <v>17</v>
      </c>
      <c r="E24" t="s">
        <v>25</v>
      </c>
    </row>
    <row r="25" spans="1:5" x14ac:dyDescent="0.3">
      <c r="A25" t="s">
        <v>8</v>
      </c>
      <c r="B25">
        <v>1000000024</v>
      </c>
      <c r="C25">
        <v>45000</v>
      </c>
      <c r="D25" t="s">
        <v>18</v>
      </c>
      <c r="E25" t="s">
        <v>26</v>
      </c>
    </row>
    <row r="26" spans="1:5" x14ac:dyDescent="0.3">
      <c r="A26" t="s">
        <v>9</v>
      </c>
      <c r="B26">
        <v>1000000025</v>
      </c>
      <c r="C26">
        <v>98000</v>
      </c>
      <c r="D26" t="s">
        <v>19</v>
      </c>
      <c r="E26" t="s">
        <v>25</v>
      </c>
    </row>
    <row r="27" spans="1:5" x14ac:dyDescent="0.3">
      <c r="A27" t="s">
        <v>10</v>
      </c>
      <c r="B27">
        <v>1000000026</v>
      </c>
      <c r="C27">
        <v>67000</v>
      </c>
      <c r="D27" t="s">
        <v>20</v>
      </c>
      <c r="E27" t="s">
        <v>26</v>
      </c>
    </row>
    <row r="28" spans="1:5" x14ac:dyDescent="0.3">
      <c r="A28" t="s">
        <v>11</v>
      </c>
      <c r="B28">
        <v>1000000027</v>
      </c>
      <c r="C28">
        <v>56000</v>
      </c>
      <c r="D28" t="s">
        <v>21</v>
      </c>
      <c r="E28" t="s">
        <v>25</v>
      </c>
    </row>
    <row r="29" spans="1:5" x14ac:dyDescent="0.3">
      <c r="A29" t="s">
        <v>12</v>
      </c>
      <c r="B29">
        <v>1000000028</v>
      </c>
      <c r="C29">
        <v>89000</v>
      </c>
      <c r="D29" t="s">
        <v>22</v>
      </c>
      <c r="E29" t="s">
        <v>26</v>
      </c>
    </row>
    <row r="30" spans="1:5" x14ac:dyDescent="0.3">
      <c r="A30" t="s">
        <v>13</v>
      </c>
      <c r="B30">
        <v>1000000029</v>
      </c>
      <c r="C30">
        <v>46000</v>
      </c>
      <c r="D30" t="s">
        <v>23</v>
      </c>
      <c r="E30" t="s">
        <v>25</v>
      </c>
    </row>
    <row r="31" spans="1:5" x14ac:dyDescent="0.3">
      <c r="A31" t="s">
        <v>14</v>
      </c>
      <c r="B31">
        <v>1000000030</v>
      </c>
      <c r="C31">
        <v>77000</v>
      </c>
      <c r="D31" t="s">
        <v>24</v>
      </c>
      <c r="E31" t="s">
        <v>26</v>
      </c>
    </row>
    <row r="32" spans="1:5" x14ac:dyDescent="0.3">
      <c r="A32" t="s">
        <v>5</v>
      </c>
      <c r="B32">
        <v>1000000031</v>
      </c>
      <c r="C32">
        <v>50000</v>
      </c>
      <c r="D32" t="s">
        <v>15</v>
      </c>
      <c r="E32" t="s">
        <v>25</v>
      </c>
    </row>
    <row r="33" spans="1:5" x14ac:dyDescent="0.3">
      <c r="A33" t="s">
        <v>6</v>
      </c>
      <c r="B33">
        <v>1000000032</v>
      </c>
      <c r="C33">
        <v>75000</v>
      </c>
      <c r="D33" t="s">
        <v>16</v>
      </c>
      <c r="E33" t="s">
        <v>26</v>
      </c>
    </row>
    <row r="34" spans="1:5" x14ac:dyDescent="0.3">
      <c r="A34" t="s">
        <v>7</v>
      </c>
      <c r="B34">
        <v>1000000033</v>
      </c>
      <c r="C34">
        <v>120000</v>
      </c>
      <c r="D34" t="s">
        <v>17</v>
      </c>
      <c r="E34" t="s">
        <v>25</v>
      </c>
    </row>
    <row r="35" spans="1:5" x14ac:dyDescent="0.3">
      <c r="A35" t="s">
        <v>8</v>
      </c>
      <c r="B35">
        <v>1000000034</v>
      </c>
      <c r="C35">
        <v>45000</v>
      </c>
      <c r="D35" t="s">
        <v>18</v>
      </c>
      <c r="E35" t="s">
        <v>26</v>
      </c>
    </row>
    <row r="36" spans="1:5" x14ac:dyDescent="0.3">
      <c r="A36" t="s">
        <v>9</v>
      </c>
      <c r="B36">
        <v>1000000035</v>
      </c>
      <c r="C36">
        <v>98000</v>
      </c>
      <c r="D36" t="s">
        <v>19</v>
      </c>
      <c r="E36" t="s">
        <v>25</v>
      </c>
    </row>
    <row r="37" spans="1:5" x14ac:dyDescent="0.3">
      <c r="A37" t="s">
        <v>10</v>
      </c>
      <c r="B37">
        <v>1000000036</v>
      </c>
      <c r="C37">
        <v>67000</v>
      </c>
      <c r="D37" t="s">
        <v>20</v>
      </c>
      <c r="E37" t="s">
        <v>26</v>
      </c>
    </row>
    <row r="38" spans="1:5" x14ac:dyDescent="0.3">
      <c r="A38" t="s">
        <v>11</v>
      </c>
      <c r="B38">
        <v>1000000037</v>
      </c>
      <c r="C38">
        <v>56000</v>
      </c>
      <c r="D38" t="s">
        <v>21</v>
      </c>
      <c r="E38" t="s">
        <v>25</v>
      </c>
    </row>
    <row r="39" spans="1:5" x14ac:dyDescent="0.3">
      <c r="A39" t="s">
        <v>12</v>
      </c>
      <c r="B39">
        <v>1000000038</v>
      </c>
      <c r="C39">
        <v>89000</v>
      </c>
      <c r="D39" t="s">
        <v>22</v>
      </c>
      <c r="E39" t="s">
        <v>26</v>
      </c>
    </row>
    <row r="40" spans="1:5" x14ac:dyDescent="0.3">
      <c r="A40" t="s">
        <v>13</v>
      </c>
      <c r="B40">
        <v>1000000039</v>
      </c>
      <c r="C40">
        <v>46000</v>
      </c>
      <c r="D40" t="s">
        <v>23</v>
      </c>
      <c r="E40" t="s">
        <v>25</v>
      </c>
    </row>
    <row r="41" spans="1:5" x14ac:dyDescent="0.3">
      <c r="A41" t="s">
        <v>14</v>
      </c>
      <c r="B41">
        <v>1000000040</v>
      </c>
      <c r="C41">
        <v>77000</v>
      </c>
      <c r="D41" t="s">
        <v>24</v>
      </c>
      <c r="E41" t="s">
        <v>26</v>
      </c>
    </row>
    <row r="42" spans="1:5" x14ac:dyDescent="0.3">
      <c r="A42" t="s">
        <v>5</v>
      </c>
      <c r="B42">
        <v>1000000041</v>
      </c>
      <c r="C42">
        <v>50000</v>
      </c>
      <c r="D42" t="s">
        <v>15</v>
      </c>
      <c r="E42" t="s">
        <v>25</v>
      </c>
    </row>
    <row r="43" spans="1:5" x14ac:dyDescent="0.3">
      <c r="A43" t="s">
        <v>6</v>
      </c>
      <c r="B43">
        <v>1000000042</v>
      </c>
      <c r="C43">
        <v>75000</v>
      </c>
      <c r="D43" t="s">
        <v>16</v>
      </c>
      <c r="E43" t="s">
        <v>26</v>
      </c>
    </row>
    <row r="44" spans="1:5" x14ac:dyDescent="0.3">
      <c r="A44" t="s">
        <v>7</v>
      </c>
      <c r="B44">
        <v>1000000043</v>
      </c>
      <c r="C44">
        <v>120000</v>
      </c>
      <c r="D44" t="s">
        <v>17</v>
      </c>
      <c r="E44" t="s">
        <v>25</v>
      </c>
    </row>
    <row r="45" spans="1:5" x14ac:dyDescent="0.3">
      <c r="A45" t="s">
        <v>8</v>
      </c>
      <c r="B45">
        <v>1000000044</v>
      </c>
      <c r="C45">
        <v>45000</v>
      </c>
      <c r="D45" t="s">
        <v>18</v>
      </c>
      <c r="E45" t="s">
        <v>26</v>
      </c>
    </row>
    <row r="46" spans="1:5" x14ac:dyDescent="0.3">
      <c r="A46" t="s">
        <v>9</v>
      </c>
      <c r="B46">
        <v>1000000045</v>
      </c>
      <c r="C46">
        <v>98000</v>
      </c>
      <c r="D46" t="s">
        <v>19</v>
      </c>
      <c r="E46" t="s">
        <v>25</v>
      </c>
    </row>
    <row r="47" spans="1:5" x14ac:dyDescent="0.3">
      <c r="A47" t="s">
        <v>10</v>
      </c>
      <c r="B47">
        <v>1000000046</v>
      </c>
      <c r="C47">
        <v>67000</v>
      </c>
      <c r="D47" t="s">
        <v>20</v>
      </c>
      <c r="E47" t="s">
        <v>26</v>
      </c>
    </row>
    <row r="48" spans="1:5" x14ac:dyDescent="0.3">
      <c r="A48" t="s">
        <v>11</v>
      </c>
      <c r="B48">
        <v>1000000047</v>
      </c>
      <c r="C48">
        <v>56000</v>
      </c>
      <c r="D48" t="s">
        <v>21</v>
      </c>
      <c r="E48" t="s">
        <v>25</v>
      </c>
    </row>
    <row r="49" spans="1:5" x14ac:dyDescent="0.3">
      <c r="A49" t="s">
        <v>12</v>
      </c>
      <c r="B49">
        <v>1000000048</v>
      </c>
      <c r="C49">
        <v>89000</v>
      </c>
      <c r="D49" t="s">
        <v>22</v>
      </c>
      <c r="E49" t="s">
        <v>26</v>
      </c>
    </row>
    <row r="50" spans="1:5" x14ac:dyDescent="0.3">
      <c r="A50" t="s">
        <v>13</v>
      </c>
      <c r="B50">
        <v>1000000049</v>
      </c>
      <c r="C50">
        <v>46000</v>
      </c>
      <c r="D50" t="s">
        <v>23</v>
      </c>
      <c r="E50" t="s">
        <v>25</v>
      </c>
    </row>
    <row r="51" spans="1:5" x14ac:dyDescent="0.3">
      <c r="A51" t="s">
        <v>14</v>
      </c>
      <c r="B51">
        <v>1000000050</v>
      </c>
      <c r="C51">
        <v>77000</v>
      </c>
      <c r="D51" t="s">
        <v>24</v>
      </c>
      <c r="E51" t="s">
        <v>26</v>
      </c>
    </row>
    <row r="52" spans="1:5" x14ac:dyDescent="0.3">
      <c r="A52" t="s">
        <v>5</v>
      </c>
      <c r="B52">
        <v>1000000051</v>
      </c>
      <c r="C52">
        <v>50000</v>
      </c>
      <c r="D52" t="s">
        <v>15</v>
      </c>
      <c r="E52" t="s">
        <v>25</v>
      </c>
    </row>
    <row r="53" spans="1:5" x14ac:dyDescent="0.3">
      <c r="A53" t="s">
        <v>6</v>
      </c>
      <c r="B53">
        <v>1000000052</v>
      </c>
      <c r="C53">
        <v>75000</v>
      </c>
      <c r="D53" t="s">
        <v>16</v>
      </c>
      <c r="E53" t="s">
        <v>26</v>
      </c>
    </row>
    <row r="54" spans="1:5" x14ac:dyDescent="0.3">
      <c r="A54" t="s">
        <v>7</v>
      </c>
      <c r="B54">
        <v>1000000053</v>
      </c>
      <c r="C54">
        <v>120000</v>
      </c>
      <c r="D54" t="s">
        <v>17</v>
      </c>
      <c r="E54" t="s">
        <v>25</v>
      </c>
    </row>
    <row r="55" spans="1:5" x14ac:dyDescent="0.3">
      <c r="A55" t="s">
        <v>8</v>
      </c>
      <c r="B55">
        <v>1000000054</v>
      </c>
      <c r="C55">
        <v>45000</v>
      </c>
      <c r="D55" t="s">
        <v>18</v>
      </c>
      <c r="E55" t="s">
        <v>26</v>
      </c>
    </row>
    <row r="56" spans="1:5" x14ac:dyDescent="0.3">
      <c r="A56" t="s">
        <v>9</v>
      </c>
      <c r="B56">
        <v>1000000055</v>
      </c>
      <c r="C56">
        <v>98000</v>
      </c>
      <c r="D56" t="s">
        <v>19</v>
      </c>
      <c r="E56" t="s">
        <v>25</v>
      </c>
    </row>
    <row r="57" spans="1:5" x14ac:dyDescent="0.3">
      <c r="A57" t="s">
        <v>10</v>
      </c>
      <c r="B57">
        <v>1000000056</v>
      </c>
      <c r="C57">
        <v>67000</v>
      </c>
      <c r="D57" t="s">
        <v>20</v>
      </c>
      <c r="E57" t="s">
        <v>26</v>
      </c>
    </row>
    <row r="58" spans="1:5" x14ac:dyDescent="0.3">
      <c r="A58" t="s">
        <v>11</v>
      </c>
      <c r="B58">
        <v>1000000057</v>
      </c>
      <c r="C58">
        <v>56000</v>
      </c>
      <c r="D58" t="s">
        <v>21</v>
      </c>
      <c r="E58" t="s">
        <v>25</v>
      </c>
    </row>
    <row r="59" spans="1:5" x14ac:dyDescent="0.3">
      <c r="A59" t="s">
        <v>12</v>
      </c>
      <c r="B59">
        <v>1000000058</v>
      </c>
      <c r="C59">
        <v>89000</v>
      </c>
      <c r="D59" t="s">
        <v>22</v>
      </c>
      <c r="E59" t="s">
        <v>26</v>
      </c>
    </row>
    <row r="60" spans="1:5" x14ac:dyDescent="0.3">
      <c r="A60" t="s">
        <v>13</v>
      </c>
      <c r="B60">
        <v>1000000059</v>
      </c>
      <c r="C60">
        <v>46000</v>
      </c>
      <c r="D60" t="s">
        <v>23</v>
      </c>
      <c r="E60" t="s">
        <v>25</v>
      </c>
    </row>
    <row r="61" spans="1:5" x14ac:dyDescent="0.3">
      <c r="A61" t="s">
        <v>14</v>
      </c>
      <c r="B61">
        <v>1000000060</v>
      </c>
      <c r="C61">
        <v>77000</v>
      </c>
      <c r="D61" t="s">
        <v>24</v>
      </c>
      <c r="E61" t="s">
        <v>26</v>
      </c>
    </row>
    <row r="62" spans="1:5" x14ac:dyDescent="0.3">
      <c r="A62" t="s">
        <v>5</v>
      </c>
      <c r="B62">
        <v>1000000061</v>
      </c>
      <c r="C62">
        <v>50000</v>
      </c>
      <c r="D62" t="s">
        <v>15</v>
      </c>
      <c r="E62" t="s">
        <v>25</v>
      </c>
    </row>
    <row r="63" spans="1:5" x14ac:dyDescent="0.3">
      <c r="A63" t="s">
        <v>6</v>
      </c>
      <c r="B63">
        <v>1000000062</v>
      </c>
      <c r="C63">
        <v>75000</v>
      </c>
      <c r="D63" t="s">
        <v>16</v>
      </c>
      <c r="E63" t="s">
        <v>26</v>
      </c>
    </row>
    <row r="64" spans="1:5" x14ac:dyDescent="0.3">
      <c r="A64" t="s">
        <v>7</v>
      </c>
      <c r="B64">
        <v>1000000063</v>
      </c>
      <c r="C64">
        <v>120000</v>
      </c>
      <c r="D64" t="s">
        <v>17</v>
      </c>
      <c r="E64" t="s">
        <v>25</v>
      </c>
    </row>
    <row r="65" spans="1:5" x14ac:dyDescent="0.3">
      <c r="A65" t="s">
        <v>8</v>
      </c>
      <c r="B65">
        <v>1000000064</v>
      </c>
      <c r="C65">
        <v>45000</v>
      </c>
      <c r="D65" t="s">
        <v>18</v>
      </c>
      <c r="E65" t="s">
        <v>26</v>
      </c>
    </row>
    <row r="66" spans="1:5" x14ac:dyDescent="0.3">
      <c r="A66" t="s">
        <v>9</v>
      </c>
      <c r="B66">
        <v>1000000065</v>
      </c>
      <c r="C66">
        <v>98000</v>
      </c>
      <c r="D66" t="s">
        <v>19</v>
      </c>
      <c r="E66" t="s">
        <v>25</v>
      </c>
    </row>
    <row r="67" spans="1:5" x14ac:dyDescent="0.3">
      <c r="A67" t="s">
        <v>10</v>
      </c>
      <c r="B67">
        <v>1000000066</v>
      </c>
      <c r="C67">
        <v>67000</v>
      </c>
      <c r="D67" t="s">
        <v>20</v>
      </c>
      <c r="E67" t="s">
        <v>26</v>
      </c>
    </row>
    <row r="68" spans="1:5" x14ac:dyDescent="0.3">
      <c r="A68" t="s">
        <v>11</v>
      </c>
      <c r="B68">
        <v>1000000067</v>
      </c>
      <c r="C68">
        <v>56000</v>
      </c>
      <c r="D68" t="s">
        <v>21</v>
      </c>
      <c r="E68" t="s">
        <v>25</v>
      </c>
    </row>
    <row r="69" spans="1:5" x14ac:dyDescent="0.3">
      <c r="A69" t="s">
        <v>12</v>
      </c>
      <c r="B69">
        <v>1000000068</v>
      </c>
      <c r="C69">
        <v>89000</v>
      </c>
      <c r="D69" t="s">
        <v>22</v>
      </c>
      <c r="E69" t="s">
        <v>26</v>
      </c>
    </row>
    <row r="70" spans="1:5" x14ac:dyDescent="0.3">
      <c r="A70" t="s">
        <v>13</v>
      </c>
      <c r="B70">
        <v>1000000069</v>
      </c>
      <c r="C70">
        <v>46000</v>
      </c>
      <c r="D70" t="s">
        <v>23</v>
      </c>
      <c r="E70" t="s">
        <v>25</v>
      </c>
    </row>
    <row r="71" spans="1:5" x14ac:dyDescent="0.3">
      <c r="A71" t="s">
        <v>14</v>
      </c>
      <c r="B71">
        <v>1000000070</v>
      </c>
      <c r="C71">
        <v>77000</v>
      </c>
      <c r="D71" t="s">
        <v>24</v>
      </c>
      <c r="E71" t="s">
        <v>26</v>
      </c>
    </row>
    <row r="72" spans="1:5" x14ac:dyDescent="0.3">
      <c r="A72" t="s">
        <v>5</v>
      </c>
      <c r="B72">
        <v>1000000071</v>
      </c>
      <c r="C72">
        <v>50000</v>
      </c>
      <c r="D72" t="s">
        <v>15</v>
      </c>
      <c r="E72" t="s">
        <v>25</v>
      </c>
    </row>
    <row r="73" spans="1:5" x14ac:dyDescent="0.3">
      <c r="A73" t="s">
        <v>6</v>
      </c>
      <c r="B73">
        <v>1000000072</v>
      </c>
      <c r="C73">
        <v>75000</v>
      </c>
      <c r="D73" t="s">
        <v>16</v>
      </c>
      <c r="E73" t="s">
        <v>26</v>
      </c>
    </row>
    <row r="74" spans="1:5" x14ac:dyDescent="0.3">
      <c r="A74" t="s">
        <v>7</v>
      </c>
      <c r="B74">
        <v>1000000073</v>
      </c>
      <c r="C74">
        <v>120000</v>
      </c>
      <c r="D74" t="s">
        <v>17</v>
      </c>
      <c r="E74" t="s">
        <v>25</v>
      </c>
    </row>
    <row r="75" spans="1:5" x14ac:dyDescent="0.3">
      <c r="A75" t="s">
        <v>8</v>
      </c>
      <c r="B75">
        <v>1000000074</v>
      </c>
      <c r="C75">
        <v>45000</v>
      </c>
      <c r="D75" t="s">
        <v>18</v>
      </c>
      <c r="E75" t="s">
        <v>26</v>
      </c>
    </row>
    <row r="76" spans="1:5" x14ac:dyDescent="0.3">
      <c r="A76" t="s">
        <v>9</v>
      </c>
      <c r="B76">
        <v>1000000075</v>
      </c>
      <c r="C76">
        <v>98000</v>
      </c>
      <c r="D76" t="s">
        <v>19</v>
      </c>
      <c r="E76" t="s">
        <v>25</v>
      </c>
    </row>
    <row r="77" spans="1:5" x14ac:dyDescent="0.3">
      <c r="A77" t="s">
        <v>10</v>
      </c>
      <c r="B77">
        <v>1000000076</v>
      </c>
      <c r="C77">
        <v>67000</v>
      </c>
      <c r="D77" t="s">
        <v>20</v>
      </c>
      <c r="E77" t="s">
        <v>26</v>
      </c>
    </row>
    <row r="78" spans="1:5" x14ac:dyDescent="0.3">
      <c r="A78" t="s">
        <v>11</v>
      </c>
      <c r="B78">
        <v>1000000077</v>
      </c>
      <c r="C78">
        <v>56000</v>
      </c>
      <c r="D78" t="s">
        <v>21</v>
      </c>
      <c r="E78" t="s">
        <v>25</v>
      </c>
    </row>
    <row r="79" spans="1:5" x14ac:dyDescent="0.3">
      <c r="A79" t="s">
        <v>12</v>
      </c>
      <c r="B79">
        <v>1000000078</v>
      </c>
      <c r="C79">
        <v>89000</v>
      </c>
      <c r="D79" t="s">
        <v>22</v>
      </c>
      <c r="E79" t="s">
        <v>26</v>
      </c>
    </row>
    <row r="80" spans="1:5" x14ac:dyDescent="0.3">
      <c r="A80" t="s">
        <v>13</v>
      </c>
      <c r="B80">
        <v>1000000079</v>
      </c>
      <c r="C80">
        <v>46000</v>
      </c>
      <c r="D80" t="s">
        <v>23</v>
      </c>
      <c r="E80" t="s">
        <v>25</v>
      </c>
    </row>
    <row r="81" spans="1:5" x14ac:dyDescent="0.3">
      <c r="A81" t="s">
        <v>14</v>
      </c>
      <c r="B81">
        <v>1000000080</v>
      </c>
      <c r="C81">
        <v>77000</v>
      </c>
      <c r="D81" t="s">
        <v>24</v>
      </c>
      <c r="E81" t="s">
        <v>26</v>
      </c>
    </row>
    <row r="82" spans="1:5" x14ac:dyDescent="0.3">
      <c r="A82" t="s">
        <v>5</v>
      </c>
      <c r="B82">
        <v>1000000081</v>
      </c>
      <c r="C82">
        <v>50000</v>
      </c>
      <c r="D82" t="s">
        <v>15</v>
      </c>
      <c r="E82" t="s">
        <v>25</v>
      </c>
    </row>
    <row r="83" spans="1:5" x14ac:dyDescent="0.3">
      <c r="A83" t="s">
        <v>6</v>
      </c>
      <c r="B83">
        <v>1000000082</v>
      </c>
      <c r="C83">
        <v>75000</v>
      </c>
      <c r="D83" t="s">
        <v>16</v>
      </c>
      <c r="E83" t="s">
        <v>26</v>
      </c>
    </row>
    <row r="84" spans="1:5" x14ac:dyDescent="0.3">
      <c r="A84" t="s">
        <v>7</v>
      </c>
      <c r="B84">
        <v>1000000083</v>
      </c>
      <c r="C84">
        <v>120000</v>
      </c>
      <c r="D84" t="s">
        <v>17</v>
      </c>
      <c r="E84" t="s">
        <v>25</v>
      </c>
    </row>
    <row r="85" spans="1:5" x14ac:dyDescent="0.3">
      <c r="A85" t="s">
        <v>8</v>
      </c>
      <c r="B85">
        <v>1000000084</v>
      </c>
      <c r="C85">
        <v>45000</v>
      </c>
      <c r="D85" t="s">
        <v>18</v>
      </c>
      <c r="E85" t="s">
        <v>26</v>
      </c>
    </row>
    <row r="86" spans="1:5" x14ac:dyDescent="0.3">
      <c r="A86" t="s">
        <v>9</v>
      </c>
      <c r="B86">
        <v>1000000085</v>
      </c>
      <c r="C86">
        <v>98000</v>
      </c>
      <c r="D86" t="s">
        <v>19</v>
      </c>
      <c r="E86" t="s">
        <v>25</v>
      </c>
    </row>
    <row r="87" spans="1:5" x14ac:dyDescent="0.3">
      <c r="A87" t="s">
        <v>10</v>
      </c>
      <c r="B87">
        <v>1000000086</v>
      </c>
      <c r="C87">
        <v>67000</v>
      </c>
      <c r="D87" t="s">
        <v>20</v>
      </c>
      <c r="E87" t="s">
        <v>26</v>
      </c>
    </row>
    <row r="88" spans="1:5" x14ac:dyDescent="0.3">
      <c r="A88" t="s">
        <v>11</v>
      </c>
      <c r="B88">
        <v>1000000087</v>
      </c>
      <c r="C88">
        <v>56000</v>
      </c>
      <c r="D88" t="s">
        <v>21</v>
      </c>
      <c r="E88" t="s">
        <v>25</v>
      </c>
    </row>
    <row r="89" spans="1:5" x14ac:dyDescent="0.3">
      <c r="A89" t="s">
        <v>12</v>
      </c>
      <c r="B89">
        <v>1000000088</v>
      </c>
      <c r="C89">
        <v>89000</v>
      </c>
      <c r="D89" t="s">
        <v>22</v>
      </c>
      <c r="E89" t="s">
        <v>26</v>
      </c>
    </row>
    <row r="90" spans="1:5" x14ac:dyDescent="0.3">
      <c r="A90" t="s">
        <v>13</v>
      </c>
      <c r="B90">
        <v>1000000089</v>
      </c>
      <c r="C90">
        <v>46000</v>
      </c>
      <c r="D90" t="s">
        <v>23</v>
      </c>
      <c r="E90" t="s">
        <v>25</v>
      </c>
    </row>
    <row r="91" spans="1:5" x14ac:dyDescent="0.3">
      <c r="A91" t="s">
        <v>14</v>
      </c>
      <c r="B91">
        <v>1000000090</v>
      </c>
      <c r="C91">
        <v>77000</v>
      </c>
      <c r="D91" t="s">
        <v>24</v>
      </c>
      <c r="E91" t="s">
        <v>26</v>
      </c>
    </row>
    <row r="92" spans="1:5" x14ac:dyDescent="0.3">
      <c r="A92" t="s">
        <v>5</v>
      </c>
      <c r="B92">
        <v>1000000091</v>
      </c>
      <c r="C92">
        <v>50000</v>
      </c>
      <c r="D92" t="s">
        <v>15</v>
      </c>
      <c r="E92" t="s">
        <v>25</v>
      </c>
    </row>
    <row r="93" spans="1:5" x14ac:dyDescent="0.3">
      <c r="A93" t="s">
        <v>6</v>
      </c>
      <c r="B93">
        <v>1000000092</v>
      </c>
      <c r="C93">
        <v>75000</v>
      </c>
      <c r="D93" t="s">
        <v>16</v>
      </c>
      <c r="E93" t="s">
        <v>26</v>
      </c>
    </row>
    <row r="94" spans="1:5" x14ac:dyDescent="0.3">
      <c r="A94" t="s">
        <v>7</v>
      </c>
      <c r="B94">
        <v>1000000093</v>
      </c>
      <c r="C94">
        <v>120000</v>
      </c>
      <c r="D94" t="s">
        <v>17</v>
      </c>
      <c r="E94" t="s">
        <v>25</v>
      </c>
    </row>
    <row r="95" spans="1:5" x14ac:dyDescent="0.3">
      <c r="A95" t="s">
        <v>8</v>
      </c>
      <c r="B95">
        <v>1000000094</v>
      </c>
      <c r="C95">
        <v>45000</v>
      </c>
      <c r="D95" t="s">
        <v>18</v>
      </c>
      <c r="E95" t="s">
        <v>26</v>
      </c>
    </row>
    <row r="96" spans="1:5" x14ac:dyDescent="0.3">
      <c r="A96" t="s">
        <v>9</v>
      </c>
      <c r="B96">
        <v>1000000095</v>
      </c>
      <c r="C96">
        <v>98000</v>
      </c>
      <c r="D96" t="s">
        <v>19</v>
      </c>
      <c r="E96" t="s">
        <v>25</v>
      </c>
    </row>
    <row r="97" spans="1:5" x14ac:dyDescent="0.3">
      <c r="A97" t="s">
        <v>10</v>
      </c>
      <c r="B97">
        <v>1000000096</v>
      </c>
      <c r="C97">
        <v>67000</v>
      </c>
      <c r="D97" t="s">
        <v>20</v>
      </c>
      <c r="E97" t="s">
        <v>26</v>
      </c>
    </row>
    <row r="98" spans="1:5" x14ac:dyDescent="0.3">
      <c r="A98" t="s">
        <v>11</v>
      </c>
      <c r="B98">
        <v>1000000097</v>
      </c>
      <c r="C98">
        <v>56000</v>
      </c>
      <c r="D98" t="s">
        <v>21</v>
      </c>
      <c r="E98" t="s">
        <v>25</v>
      </c>
    </row>
    <row r="99" spans="1:5" x14ac:dyDescent="0.3">
      <c r="A99" t="s">
        <v>12</v>
      </c>
      <c r="B99">
        <v>1000000098</v>
      </c>
      <c r="C99">
        <v>89000</v>
      </c>
      <c r="D99" t="s">
        <v>22</v>
      </c>
      <c r="E99" t="s">
        <v>26</v>
      </c>
    </row>
    <row r="100" spans="1:5" x14ac:dyDescent="0.3">
      <c r="A100" t="s">
        <v>13</v>
      </c>
      <c r="B100">
        <v>1000000099</v>
      </c>
      <c r="C100">
        <v>46000</v>
      </c>
      <c r="D100" t="s">
        <v>23</v>
      </c>
      <c r="E100" t="s">
        <v>25</v>
      </c>
    </row>
    <row r="101" spans="1:5" x14ac:dyDescent="0.3">
      <c r="A101" t="s">
        <v>14</v>
      </c>
      <c r="B101">
        <v>1000000100</v>
      </c>
      <c r="C101">
        <v>77000</v>
      </c>
      <c r="D101" t="s">
        <v>24</v>
      </c>
      <c r="E101" t="s">
        <v>26</v>
      </c>
    </row>
    <row r="102" spans="1:5" x14ac:dyDescent="0.3">
      <c r="A102" t="s">
        <v>5</v>
      </c>
      <c r="B102">
        <v>1000000101</v>
      </c>
      <c r="C102">
        <v>50000</v>
      </c>
      <c r="D102" t="s">
        <v>15</v>
      </c>
      <c r="E102" t="s">
        <v>25</v>
      </c>
    </row>
    <row r="103" spans="1:5" x14ac:dyDescent="0.3">
      <c r="A103" t="s">
        <v>6</v>
      </c>
      <c r="B103">
        <v>1000000102</v>
      </c>
      <c r="C103">
        <v>75000</v>
      </c>
      <c r="D103" t="s">
        <v>16</v>
      </c>
      <c r="E103" t="s">
        <v>26</v>
      </c>
    </row>
    <row r="104" spans="1:5" x14ac:dyDescent="0.3">
      <c r="A104" t="s">
        <v>7</v>
      </c>
      <c r="B104">
        <v>1000000103</v>
      </c>
      <c r="C104">
        <v>120000</v>
      </c>
      <c r="D104" t="s">
        <v>17</v>
      </c>
      <c r="E104" t="s">
        <v>25</v>
      </c>
    </row>
    <row r="105" spans="1:5" x14ac:dyDescent="0.3">
      <c r="A105" t="s">
        <v>8</v>
      </c>
      <c r="B105">
        <v>1000000104</v>
      </c>
      <c r="C105">
        <v>45000</v>
      </c>
      <c r="D105" t="s">
        <v>18</v>
      </c>
      <c r="E105" t="s">
        <v>26</v>
      </c>
    </row>
    <row r="106" spans="1:5" x14ac:dyDescent="0.3">
      <c r="A106" t="s">
        <v>9</v>
      </c>
      <c r="B106">
        <v>1000000105</v>
      </c>
      <c r="C106">
        <v>98000</v>
      </c>
      <c r="D106" t="s">
        <v>19</v>
      </c>
      <c r="E106" t="s">
        <v>25</v>
      </c>
    </row>
    <row r="107" spans="1:5" x14ac:dyDescent="0.3">
      <c r="A107" t="s">
        <v>10</v>
      </c>
      <c r="B107">
        <v>1000000106</v>
      </c>
      <c r="C107">
        <v>67000</v>
      </c>
      <c r="D107" t="s">
        <v>20</v>
      </c>
      <c r="E107" t="s">
        <v>26</v>
      </c>
    </row>
    <row r="108" spans="1:5" x14ac:dyDescent="0.3">
      <c r="A108" t="s">
        <v>11</v>
      </c>
      <c r="B108">
        <v>1000000107</v>
      </c>
      <c r="C108">
        <v>56000</v>
      </c>
      <c r="D108" t="s">
        <v>21</v>
      </c>
      <c r="E108" t="s">
        <v>25</v>
      </c>
    </row>
    <row r="109" spans="1:5" x14ac:dyDescent="0.3">
      <c r="A109" t="s">
        <v>12</v>
      </c>
      <c r="B109">
        <v>1000000108</v>
      </c>
      <c r="C109">
        <v>89000</v>
      </c>
      <c r="D109" t="s">
        <v>22</v>
      </c>
      <c r="E109" t="s">
        <v>26</v>
      </c>
    </row>
    <row r="110" spans="1:5" x14ac:dyDescent="0.3">
      <c r="A110" t="s">
        <v>13</v>
      </c>
      <c r="B110">
        <v>1000000109</v>
      </c>
      <c r="C110">
        <v>46000</v>
      </c>
      <c r="D110" t="s">
        <v>23</v>
      </c>
      <c r="E110" t="s">
        <v>25</v>
      </c>
    </row>
    <row r="111" spans="1:5" x14ac:dyDescent="0.3">
      <c r="A111" t="s">
        <v>14</v>
      </c>
      <c r="B111">
        <v>1000000110</v>
      </c>
      <c r="C111">
        <v>77000</v>
      </c>
      <c r="D111" t="s">
        <v>24</v>
      </c>
      <c r="E111" t="s">
        <v>26</v>
      </c>
    </row>
    <row r="112" spans="1:5" x14ac:dyDescent="0.3">
      <c r="A112" t="s">
        <v>5</v>
      </c>
      <c r="B112">
        <v>1000000111</v>
      </c>
      <c r="C112">
        <v>50000</v>
      </c>
      <c r="D112" t="s">
        <v>15</v>
      </c>
      <c r="E112" t="s">
        <v>25</v>
      </c>
    </row>
    <row r="113" spans="1:5" x14ac:dyDescent="0.3">
      <c r="A113" t="s">
        <v>6</v>
      </c>
      <c r="B113">
        <v>1000000112</v>
      </c>
      <c r="C113">
        <v>75000</v>
      </c>
      <c r="D113" t="s">
        <v>16</v>
      </c>
      <c r="E113" t="s">
        <v>26</v>
      </c>
    </row>
    <row r="114" spans="1:5" x14ac:dyDescent="0.3">
      <c r="A114" t="s">
        <v>7</v>
      </c>
      <c r="B114">
        <v>1000000113</v>
      </c>
      <c r="C114">
        <v>120000</v>
      </c>
      <c r="D114" t="s">
        <v>17</v>
      </c>
      <c r="E114" t="s">
        <v>25</v>
      </c>
    </row>
    <row r="115" spans="1:5" x14ac:dyDescent="0.3">
      <c r="A115" t="s">
        <v>8</v>
      </c>
      <c r="B115">
        <v>1000000114</v>
      </c>
      <c r="C115">
        <v>45000</v>
      </c>
      <c r="D115" t="s">
        <v>18</v>
      </c>
      <c r="E115" t="s">
        <v>26</v>
      </c>
    </row>
    <row r="116" spans="1:5" x14ac:dyDescent="0.3">
      <c r="A116" t="s">
        <v>9</v>
      </c>
      <c r="B116">
        <v>1000000115</v>
      </c>
      <c r="C116">
        <v>98000</v>
      </c>
      <c r="D116" t="s">
        <v>19</v>
      </c>
      <c r="E116" t="s">
        <v>25</v>
      </c>
    </row>
    <row r="117" spans="1:5" x14ac:dyDescent="0.3">
      <c r="A117" t="s">
        <v>10</v>
      </c>
      <c r="B117">
        <v>1000000116</v>
      </c>
      <c r="C117">
        <v>67000</v>
      </c>
      <c r="D117" t="s">
        <v>20</v>
      </c>
      <c r="E117" t="s">
        <v>26</v>
      </c>
    </row>
    <row r="118" spans="1:5" x14ac:dyDescent="0.3">
      <c r="A118" t="s">
        <v>11</v>
      </c>
      <c r="B118">
        <v>1000000117</v>
      </c>
      <c r="C118">
        <v>56000</v>
      </c>
      <c r="D118" t="s">
        <v>21</v>
      </c>
      <c r="E118" t="s">
        <v>25</v>
      </c>
    </row>
    <row r="119" spans="1:5" x14ac:dyDescent="0.3">
      <c r="A119" t="s">
        <v>12</v>
      </c>
      <c r="B119">
        <v>1000000118</v>
      </c>
      <c r="C119">
        <v>89000</v>
      </c>
      <c r="D119" t="s">
        <v>22</v>
      </c>
      <c r="E119" t="s">
        <v>26</v>
      </c>
    </row>
    <row r="120" spans="1:5" x14ac:dyDescent="0.3">
      <c r="A120" t="s">
        <v>13</v>
      </c>
      <c r="B120">
        <v>1000000119</v>
      </c>
      <c r="C120">
        <v>46000</v>
      </c>
      <c r="D120" t="s">
        <v>23</v>
      </c>
      <c r="E120" t="s">
        <v>25</v>
      </c>
    </row>
    <row r="121" spans="1:5" x14ac:dyDescent="0.3">
      <c r="A121" t="s">
        <v>14</v>
      </c>
      <c r="B121">
        <v>1000000120</v>
      </c>
      <c r="C121">
        <v>77000</v>
      </c>
      <c r="D121" t="s">
        <v>24</v>
      </c>
      <c r="E121" t="s">
        <v>26</v>
      </c>
    </row>
    <row r="122" spans="1:5" x14ac:dyDescent="0.3">
      <c r="A122" t="s">
        <v>5</v>
      </c>
      <c r="B122">
        <v>1000000121</v>
      </c>
      <c r="C122">
        <v>50000</v>
      </c>
      <c r="D122" t="s">
        <v>15</v>
      </c>
      <c r="E122" t="s">
        <v>25</v>
      </c>
    </row>
    <row r="123" spans="1:5" x14ac:dyDescent="0.3">
      <c r="A123" t="s">
        <v>6</v>
      </c>
      <c r="B123">
        <v>1000000122</v>
      </c>
      <c r="C123">
        <v>75000</v>
      </c>
      <c r="D123" t="s">
        <v>16</v>
      </c>
      <c r="E123" t="s">
        <v>26</v>
      </c>
    </row>
    <row r="124" spans="1:5" x14ac:dyDescent="0.3">
      <c r="A124" t="s">
        <v>7</v>
      </c>
      <c r="B124">
        <v>1000000123</v>
      </c>
      <c r="C124">
        <v>120000</v>
      </c>
      <c r="D124" t="s">
        <v>17</v>
      </c>
      <c r="E124" t="s">
        <v>25</v>
      </c>
    </row>
    <row r="125" spans="1:5" x14ac:dyDescent="0.3">
      <c r="A125" t="s">
        <v>8</v>
      </c>
      <c r="B125">
        <v>1000000124</v>
      </c>
      <c r="C125">
        <v>45000</v>
      </c>
      <c r="D125" t="s">
        <v>18</v>
      </c>
      <c r="E125" t="s">
        <v>26</v>
      </c>
    </row>
    <row r="126" spans="1:5" x14ac:dyDescent="0.3">
      <c r="A126" t="s">
        <v>9</v>
      </c>
      <c r="B126">
        <v>1000000125</v>
      </c>
      <c r="C126">
        <v>98000</v>
      </c>
      <c r="D126" t="s">
        <v>19</v>
      </c>
      <c r="E126" t="s">
        <v>25</v>
      </c>
    </row>
    <row r="127" spans="1:5" x14ac:dyDescent="0.3">
      <c r="A127" t="s">
        <v>10</v>
      </c>
      <c r="B127">
        <v>1000000126</v>
      </c>
      <c r="C127">
        <v>67000</v>
      </c>
      <c r="D127" t="s">
        <v>20</v>
      </c>
      <c r="E127" t="s">
        <v>26</v>
      </c>
    </row>
    <row r="128" spans="1:5" x14ac:dyDescent="0.3">
      <c r="A128" t="s">
        <v>11</v>
      </c>
      <c r="B128">
        <v>1000000127</v>
      </c>
      <c r="C128">
        <v>56000</v>
      </c>
      <c r="D128" t="s">
        <v>21</v>
      </c>
      <c r="E128" t="s">
        <v>25</v>
      </c>
    </row>
    <row r="129" spans="1:5" x14ac:dyDescent="0.3">
      <c r="A129" t="s">
        <v>12</v>
      </c>
      <c r="B129">
        <v>1000000128</v>
      </c>
      <c r="C129">
        <v>89000</v>
      </c>
      <c r="D129" t="s">
        <v>22</v>
      </c>
      <c r="E129" t="s">
        <v>26</v>
      </c>
    </row>
    <row r="130" spans="1:5" x14ac:dyDescent="0.3">
      <c r="A130" t="s">
        <v>13</v>
      </c>
      <c r="B130">
        <v>1000000129</v>
      </c>
      <c r="C130">
        <v>46000</v>
      </c>
      <c r="D130" t="s">
        <v>23</v>
      </c>
      <c r="E130" t="s">
        <v>25</v>
      </c>
    </row>
    <row r="131" spans="1:5" x14ac:dyDescent="0.3">
      <c r="A131" t="s">
        <v>14</v>
      </c>
      <c r="B131">
        <v>1000000130</v>
      </c>
      <c r="C131">
        <v>77000</v>
      </c>
      <c r="D131" t="s">
        <v>24</v>
      </c>
      <c r="E131" t="s">
        <v>26</v>
      </c>
    </row>
    <row r="132" spans="1:5" x14ac:dyDescent="0.3">
      <c r="A132" t="s">
        <v>5</v>
      </c>
      <c r="B132">
        <v>1000000131</v>
      </c>
      <c r="C132">
        <v>50000</v>
      </c>
      <c r="D132" t="s">
        <v>15</v>
      </c>
      <c r="E132" t="s">
        <v>25</v>
      </c>
    </row>
    <row r="133" spans="1:5" x14ac:dyDescent="0.3">
      <c r="A133" t="s">
        <v>6</v>
      </c>
      <c r="B133">
        <v>1000000132</v>
      </c>
      <c r="C133">
        <v>75000</v>
      </c>
      <c r="D133" t="s">
        <v>16</v>
      </c>
      <c r="E133" t="s">
        <v>26</v>
      </c>
    </row>
    <row r="134" spans="1:5" x14ac:dyDescent="0.3">
      <c r="A134" t="s">
        <v>7</v>
      </c>
      <c r="B134">
        <v>1000000133</v>
      </c>
      <c r="C134">
        <v>120000</v>
      </c>
      <c r="D134" t="s">
        <v>17</v>
      </c>
      <c r="E134" t="s">
        <v>25</v>
      </c>
    </row>
    <row r="135" spans="1:5" x14ac:dyDescent="0.3">
      <c r="A135" t="s">
        <v>8</v>
      </c>
      <c r="B135">
        <v>1000000134</v>
      </c>
      <c r="C135">
        <v>45000</v>
      </c>
      <c r="D135" t="s">
        <v>18</v>
      </c>
      <c r="E135" t="s">
        <v>26</v>
      </c>
    </row>
    <row r="136" spans="1:5" x14ac:dyDescent="0.3">
      <c r="A136" t="s">
        <v>9</v>
      </c>
      <c r="B136">
        <v>1000000135</v>
      </c>
      <c r="C136">
        <v>98000</v>
      </c>
      <c r="D136" t="s">
        <v>19</v>
      </c>
      <c r="E136" t="s">
        <v>25</v>
      </c>
    </row>
    <row r="137" spans="1:5" x14ac:dyDescent="0.3">
      <c r="A137" t="s">
        <v>10</v>
      </c>
      <c r="B137">
        <v>1000000136</v>
      </c>
      <c r="C137">
        <v>67000</v>
      </c>
      <c r="D137" t="s">
        <v>20</v>
      </c>
      <c r="E137" t="s">
        <v>26</v>
      </c>
    </row>
    <row r="138" spans="1:5" x14ac:dyDescent="0.3">
      <c r="A138" t="s">
        <v>11</v>
      </c>
      <c r="B138">
        <v>1000000137</v>
      </c>
      <c r="C138">
        <v>56000</v>
      </c>
      <c r="D138" t="s">
        <v>21</v>
      </c>
      <c r="E138" t="s">
        <v>25</v>
      </c>
    </row>
    <row r="139" spans="1:5" x14ac:dyDescent="0.3">
      <c r="A139" t="s">
        <v>12</v>
      </c>
      <c r="B139">
        <v>1000000138</v>
      </c>
      <c r="C139">
        <v>89000</v>
      </c>
      <c r="D139" t="s">
        <v>22</v>
      </c>
      <c r="E139" t="s">
        <v>26</v>
      </c>
    </row>
    <row r="140" spans="1:5" x14ac:dyDescent="0.3">
      <c r="A140" t="s">
        <v>13</v>
      </c>
      <c r="B140">
        <v>1000000139</v>
      </c>
      <c r="C140">
        <v>46000</v>
      </c>
      <c r="D140" t="s">
        <v>23</v>
      </c>
      <c r="E140" t="s">
        <v>25</v>
      </c>
    </row>
    <row r="141" spans="1:5" x14ac:dyDescent="0.3">
      <c r="A141" t="s">
        <v>14</v>
      </c>
      <c r="B141">
        <v>1000000140</v>
      </c>
      <c r="C141">
        <v>77000</v>
      </c>
      <c r="D141" t="s">
        <v>24</v>
      </c>
      <c r="E141" t="s">
        <v>26</v>
      </c>
    </row>
    <row r="142" spans="1:5" x14ac:dyDescent="0.3">
      <c r="A142" t="s">
        <v>5</v>
      </c>
      <c r="B142">
        <v>1000000141</v>
      </c>
      <c r="C142">
        <v>50000</v>
      </c>
      <c r="D142" t="s">
        <v>15</v>
      </c>
      <c r="E142" t="s">
        <v>25</v>
      </c>
    </row>
    <row r="143" spans="1:5" x14ac:dyDescent="0.3">
      <c r="A143" t="s">
        <v>6</v>
      </c>
      <c r="B143">
        <v>1000000142</v>
      </c>
      <c r="C143">
        <v>75000</v>
      </c>
      <c r="D143" t="s">
        <v>16</v>
      </c>
      <c r="E143" t="s">
        <v>26</v>
      </c>
    </row>
    <row r="144" spans="1:5" x14ac:dyDescent="0.3">
      <c r="A144" t="s">
        <v>7</v>
      </c>
      <c r="B144">
        <v>1000000143</v>
      </c>
      <c r="C144">
        <v>120000</v>
      </c>
      <c r="D144" t="s">
        <v>17</v>
      </c>
      <c r="E144" t="s">
        <v>25</v>
      </c>
    </row>
    <row r="145" spans="1:5" x14ac:dyDescent="0.3">
      <c r="A145" t="s">
        <v>8</v>
      </c>
      <c r="B145">
        <v>1000000144</v>
      </c>
      <c r="C145">
        <v>45000</v>
      </c>
      <c r="D145" t="s">
        <v>18</v>
      </c>
      <c r="E145" t="s">
        <v>26</v>
      </c>
    </row>
    <row r="146" spans="1:5" x14ac:dyDescent="0.3">
      <c r="A146" t="s">
        <v>9</v>
      </c>
      <c r="B146">
        <v>1000000145</v>
      </c>
      <c r="C146">
        <v>98000</v>
      </c>
      <c r="D146" t="s">
        <v>19</v>
      </c>
      <c r="E146" t="s">
        <v>25</v>
      </c>
    </row>
    <row r="147" spans="1:5" x14ac:dyDescent="0.3">
      <c r="A147" t="s">
        <v>10</v>
      </c>
      <c r="B147">
        <v>1000000146</v>
      </c>
      <c r="C147">
        <v>67000</v>
      </c>
      <c r="D147" t="s">
        <v>20</v>
      </c>
      <c r="E147" t="s">
        <v>26</v>
      </c>
    </row>
    <row r="148" spans="1:5" x14ac:dyDescent="0.3">
      <c r="A148" t="s">
        <v>11</v>
      </c>
      <c r="B148">
        <v>1000000147</v>
      </c>
      <c r="C148">
        <v>56000</v>
      </c>
      <c r="D148" t="s">
        <v>21</v>
      </c>
      <c r="E148" t="s">
        <v>25</v>
      </c>
    </row>
    <row r="149" spans="1:5" x14ac:dyDescent="0.3">
      <c r="A149" t="s">
        <v>12</v>
      </c>
      <c r="B149">
        <v>1000000148</v>
      </c>
      <c r="C149">
        <v>89000</v>
      </c>
      <c r="D149" t="s">
        <v>22</v>
      </c>
      <c r="E149" t="s">
        <v>26</v>
      </c>
    </row>
    <row r="150" spans="1:5" x14ac:dyDescent="0.3">
      <c r="A150" t="s">
        <v>13</v>
      </c>
      <c r="B150">
        <v>1000000149</v>
      </c>
      <c r="C150">
        <v>46000</v>
      </c>
      <c r="D150" t="s">
        <v>23</v>
      </c>
      <c r="E150" t="s">
        <v>25</v>
      </c>
    </row>
    <row r="151" spans="1:5" x14ac:dyDescent="0.3">
      <c r="A151" t="s">
        <v>14</v>
      </c>
      <c r="B151">
        <v>1000000150</v>
      </c>
      <c r="C151">
        <v>77000</v>
      </c>
      <c r="D151" t="s">
        <v>24</v>
      </c>
      <c r="E151" t="s">
        <v>26</v>
      </c>
    </row>
    <row r="152" spans="1:5" x14ac:dyDescent="0.3">
      <c r="A152" t="s">
        <v>5</v>
      </c>
      <c r="B152">
        <v>1000000151</v>
      </c>
      <c r="C152">
        <v>50000</v>
      </c>
      <c r="D152" t="s">
        <v>15</v>
      </c>
      <c r="E152" t="s">
        <v>25</v>
      </c>
    </row>
    <row r="153" spans="1:5" x14ac:dyDescent="0.3">
      <c r="A153" t="s">
        <v>6</v>
      </c>
      <c r="B153">
        <v>1000000152</v>
      </c>
      <c r="C153">
        <v>75000</v>
      </c>
      <c r="D153" t="s">
        <v>16</v>
      </c>
      <c r="E153" t="s">
        <v>26</v>
      </c>
    </row>
    <row r="154" spans="1:5" x14ac:dyDescent="0.3">
      <c r="A154" t="s">
        <v>7</v>
      </c>
      <c r="B154">
        <v>1000000153</v>
      </c>
      <c r="C154">
        <v>120000</v>
      </c>
      <c r="D154" t="s">
        <v>17</v>
      </c>
      <c r="E154" t="s">
        <v>25</v>
      </c>
    </row>
    <row r="155" spans="1:5" x14ac:dyDescent="0.3">
      <c r="A155" t="s">
        <v>8</v>
      </c>
      <c r="B155">
        <v>1000000154</v>
      </c>
      <c r="C155">
        <v>45000</v>
      </c>
      <c r="D155" t="s">
        <v>18</v>
      </c>
      <c r="E155" t="s">
        <v>26</v>
      </c>
    </row>
    <row r="156" spans="1:5" x14ac:dyDescent="0.3">
      <c r="A156" t="s">
        <v>9</v>
      </c>
      <c r="B156">
        <v>1000000155</v>
      </c>
      <c r="C156">
        <v>98000</v>
      </c>
      <c r="D156" t="s">
        <v>19</v>
      </c>
      <c r="E156" t="s">
        <v>25</v>
      </c>
    </row>
    <row r="157" spans="1:5" x14ac:dyDescent="0.3">
      <c r="A157" t="s">
        <v>10</v>
      </c>
      <c r="B157">
        <v>1000000156</v>
      </c>
      <c r="C157">
        <v>67000</v>
      </c>
      <c r="D157" t="s">
        <v>20</v>
      </c>
      <c r="E157" t="s">
        <v>26</v>
      </c>
    </row>
    <row r="158" spans="1:5" x14ac:dyDescent="0.3">
      <c r="A158" t="s">
        <v>11</v>
      </c>
      <c r="B158">
        <v>1000000157</v>
      </c>
      <c r="C158">
        <v>56000</v>
      </c>
      <c r="D158" t="s">
        <v>21</v>
      </c>
      <c r="E158" t="s">
        <v>25</v>
      </c>
    </row>
    <row r="159" spans="1:5" x14ac:dyDescent="0.3">
      <c r="A159" t="s">
        <v>12</v>
      </c>
      <c r="B159">
        <v>1000000158</v>
      </c>
      <c r="C159">
        <v>89000</v>
      </c>
      <c r="D159" t="s">
        <v>22</v>
      </c>
      <c r="E159" t="s">
        <v>26</v>
      </c>
    </row>
    <row r="160" spans="1:5" x14ac:dyDescent="0.3">
      <c r="A160" t="s">
        <v>13</v>
      </c>
      <c r="B160">
        <v>1000000159</v>
      </c>
      <c r="C160">
        <v>46000</v>
      </c>
      <c r="D160" t="s">
        <v>23</v>
      </c>
      <c r="E160" t="s">
        <v>25</v>
      </c>
    </row>
    <row r="161" spans="1:5" x14ac:dyDescent="0.3">
      <c r="A161" t="s">
        <v>14</v>
      </c>
      <c r="B161">
        <v>1000000160</v>
      </c>
      <c r="C161">
        <v>77000</v>
      </c>
      <c r="D161" t="s">
        <v>24</v>
      </c>
      <c r="E161" t="s">
        <v>26</v>
      </c>
    </row>
    <row r="162" spans="1:5" x14ac:dyDescent="0.3">
      <c r="A162" t="s">
        <v>5</v>
      </c>
      <c r="B162">
        <v>1000000161</v>
      </c>
      <c r="C162">
        <v>50000</v>
      </c>
      <c r="D162" t="s">
        <v>15</v>
      </c>
      <c r="E162" t="s">
        <v>25</v>
      </c>
    </row>
    <row r="163" spans="1:5" x14ac:dyDescent="0.3">
      <c r="A163" t="s">
        <v>6</v>
      </c>
      <c r="B163">
        <v>1000000162</v>
      </c>
      <c r="C163">
        <v>75000</v>
      </c>
      <c r="D163" t="s">
        <v>16</v>
      </c>
      <c r="E163" t="s">
        <v>26</v>
      </c>
    </row>
    <row r="164" spans="1:5" x14ac:dyDescent="0.3">
      <c r="A164" t="s">
        <v>7</v>
      </c>
      <c r="B164">
        <v>1000000163</v>
      </c>
      <c r="C164">
        <v>120000</v>
      </c>
      <c r="D164" t="s">
        <v>17</v>
      </c>
      <c r="E164" t="s">
        <v>25</v>
      </c>
    </row>
    <row r="165" spans="1:5" x14ac:dyDescent="0.3">
      <c r="A165" t="s">
        <v>8</v>
      </c>
      <c r="B165">
        <v>1000000164</v>
      </c>
      <c r="C165">
        <v>45000</v>
      </c>
      <c r="D165" t="s">
        <v>18</v>
      </c>
      <c r="E165" t="s">
        <v>26</v>
      </c>
    </row>
    <row r="166" spans="1:5" x14ac:dyDescent="0.3">
      <c r="A166" t="s">
        <v>9</v>
      </c>
      <c r="B166">
        <v>1000000165</v>
      </c>
      <c r="C166">
        <v>98000</v>
      </c>
      <c r="D166" t="s">
        <v>19</v>
      </c>
      <c r="E166" t="s">
        <v>25</v>
      </c>
    </row>
    <row r="167" spans="1:5" x14ac:dyDescent="0.3">
      <c r="A167" t="s">
        <v>10</v>
      </c>
      <c r="B167">
        <v>1000000166</v>
      </c>
      <c r="C167">
        <v>67000</v>
      </c>
      <c r="D167" t="s">
        <v>20</v>
      </c>
      <c r="E167" t="s">
        <v>26</v>
      </c>
    </row>
    <row r="168" spans="1:5" x14ac:dyDescent="0.3">
      <c r="A168" t="s">
        <v>11</v>
      </c>
      <c r="B168">
        <v>1000000167</v>
      </c>
      <c r="C168">
        <v>56000</v>
      </c>
      <c r="D168" t="s">
        <v>21</v>
      </c>
      <c r="E168" t="s">
        <v>25</v>
      </c>
    </row>
    <row r="169" spans="1:5" x14ac:dyDescent="0.3">
      <c r="A169" t="s">
        <v>12</v>
      </c>
      <c r="B169">
        <v>1000000168</v>
      </c>
      <c r="C169">
        <v>89000</v>
      </c>
      <c r="D169" t="s">
        <v>22</v>
      </c>
      <c r="E169" t="s">
        <v>26</v>
      </c>
    </row>
    <row r="170" spans="1:5" x14ac:dyDescent="0.3">
      <c r="A170" t="s">
        <v>13</v>
      </c>
      <c r="B170">
        <v>1000000169</v>
      </c>
      <c r="C170">
        <v>46000</v>
      </c>
      <c r="D170" t="s">
        <v>23</v>
      </c>
      <c r="E170" t="s">
        <v>25</v>
      </c>
    </row>
    <row r="171" spans="1:5" x14ac:dyDescent="0.3">
      <c r="A171" t="s">
        <v>14</v>
      </c>
      <c r="B171">
        <v>1000000170</v>
      </c>
      <c r="C171">
        <v>77000</v>
      </c>
      <c r="D171" t="s">
        <v>24</v>
      </c>
      <c r="E171" t="s">
        <v>26</v>
      </c>
    </row>
    <row r="172" spans="1:5" x14ac:dyDescent="0.3">
      <c r="A172" t="s">
        <v>5</v>
      </c>
      <c r="B172">
        <v>1000000171</v>
      </c>
      <c r="C172">
        <v>50000</v>
      </c>
      <c r="D172" t="s">
        <v>15</v>
      </c>
      <c r="E172" t="s">
        <v>25</v>
      </c>
    </row>
    <row r="173" spans="1:5" x14ac:dyDescent="0.3">
      <c r="A173" t="s">
        <v>6</v>
      </c>
      <c r="B173">
        <v>1000000172</v>
      </c>
      <c r="C173">
        <v>75000</v>
      </c>
      <c r="D173" t="s">
        <v>16</v>
      </c>
      <c r="E173" t="s">
        <v>26</v>
      </c>
    </row>
    <row r="174" spans="1:5" x14ac:dyDescent="0.3">
      <c r="A174" t="s">
        <v>7</v>
      </c>
      <c r="B174">
        <v>1000000173</v>
      </c>
      <c r="C174">
        <v>120000</v>
      </c>
      <c r="D174" t="s">
        <v>17</v>
      </c>
      <c r="E174" t="s">
        <v>25</v>
      </c>
    </row>
    <row r="175" spans="1:5" x14ac:dyDescent="0.3">
      <c r="A175" t="s">
        <v>8</v>
      </c>
      <c r="B175">
        <v>1000000174</v>
      </c>
      <c r="C175">
        <v>45000</v>
      </c>
      <c r="D175" t="s">
        <v>18</v>
      </c>
      <c r="E175" t="s">
        <v>26</v>
      </c>
    </row>
    <row r="176" spans="1:5" x14ac:dyDescent="0.3">
      <c r="A176" t="s">
        <v>9</v>
      </c>
      <c r="B176">
        <v>1000000175</v>
      </c>
      <c r="C176">
        <v>98000</v>
      </c>
      <c r="D176" t="s">
        <v>19</v>
      </c>
      <c r="E176" t="s">
        <v>25</v>
      </c>
    </row>
    <row r="177" spans="1:5" x14ac:dyDescent="0.3">
      <c r="A177" t="s">
        <v>10</v>
      </c>
      <c r="B177">
        <v>1000000176</v>
      </c>
      <c r="C177">
        <v>67000</v>
      </c>
      <c r="D177" t="s">
        <v>20</v>
      </c>
      <c r="E177" t="s">
        <v>26</v>
      </c>
    </row>
    <row r="178" spans="1:5" x14ac:dyDescent="0.3">
      <c r="A178" t="s">
        <v>11</v>
      </c>
      <c r="B178">
        <v>1000000177</v>
      </c>
      <c r="C178">
        <v>56000</v>
      </c>
      <c r="D178" t="s">
        <v>21</v>
      </c>
      <c r="E178" t="s">
        <v>25</v>
      </c>
    </row>
    <row r="179" spans="1:5" x14ac:dyDescent="0.3">
      <c r="A179" t="s">
        <v>12</v>
      </c>
      <c r="B179">
        <v>1000000178</v>
      </c>
      <c r="C179">
        <v>89000</v>
      </c>
      <c r="D179" t="s">
        <v>22</v>
      </c>
      <c r="E179" t="s">
        <v>26</v>
      </c>
    </row>
    <row r="180" spans="1:5" x14ac:dyDescent="0.3">
      <c r="A180" t="s">
        <v>13</v>
      </c>
      <c r="B180">
        <v>1000000179</v>
      </c>
      <c r="C180">
        <v>46000</v>
      </c>
      <c r="D180" t="s">
        <v>23</v>
      </c>
      <c r="E180" t="s">
        <v>25</v>
      </c>
    </row>
    <row r="181" spans="1:5" x14ac:dyDescent="0.3">
      <c r="A181" t="s">
        <v>14</v>
      </c>
      <c r="B181">
        <v>1000000180</v>
      </c>
      <c r="C181">
        <v>77000</v>
      </c>
      <c r="D181" t="s">
        <v>24</v>
      </c>
      <c r="E181" t="s">
        <v>26</v>
      </c>
    </row>
    <row r="182" spans="1:5" x14ac:dyDescent="0.3">
      <c r="A182" t="s">
        <v>5</v>
      </c>
      <c r="B182">
        <v>1000000181</v>
      </c>
      <c r="C182">
        <v>50000</v>
      </c>
      <c r="D182" t="s">
        <v>15</v>
      </c>
      <c r="E182" t="s">
        <v>25</v>
      </c>
    </row>
    <row r="183" spans="1:5" x14ac:dyDescent="0.3">
      <c r="A183" t="s">
        <v>6</v>
      </c>
      <c r="B183">
        <v>1000000182</v>
      </c>
      <c r="C183">
        <v>75000</v>
      </c>
      <c r="D183" t="s">
        <v>16</v>
      </c>
      <c r="E183" t="s">
        <v>26</v>
      </c>
    </row>
    <row r="184" spans="1:5" x14ac:dyDescent="0.3">
      <c r="A184" t="s">
        <v>7</v>
      </c>
      <c r="B184">
        <v>1000000183</v>
      </c>
      <c r="C184">
        <v>120000</v>
      </c>
      <c r="D184" t="s">
        <v>17</v>
      </c>
      <c r="E184" t="s">
        <v>25</v>
      </c>
    </row>
    <row r="185" spans="1:5" x14ac:dyDescent="0.3">
      <c r="A185" t="s">
        <v>8</v>
      </c>
      <c r="B185">
        <v>1000000184</v>
      </c>
      <c r="C185">
        <v>45000</v>
      </c>
      <c r="D185" t="s">
        <v>18</v>
      </c>
      <c r="E185" t="s">
        <v>26</v>
      </c>
    </row>
    <row r="186" spans="1:5" x14ac:dyDescent="0.3">
      <c r="A186" t="s">
        <v>9</v>
      </c>
      <c r="B186">
        <v>1000000185</v>
      </c>
      <c r="C186">
        <v>98000</v>
      </c>
      <c r="D186" t="s">
        <v>19</v>
      </c>
      <c r="E186" t="s">
        <v>25</v>
      </c>
    </row>
    <row r="187" spans="1:5" x14ac:dyDescent="0.3">
      <c r="A187" t="s">
        <v>10</v>
      </c>
      <c r="B187">
        <v>1000000186</v>
      </c>
      <c r="C187">
        <v>67000</v>
      </c>
      <c r="D187" t="s">
        <v>20</v>
      </c>
      <c r="E187" t="s">
        <v>26</v>
      </c>
    </row>
    <row r="188" spans="1:5" x14ac:dyDescent="0.3">
      <c r="A188" t="s">
        <v>11</v>
      </c>
      <c r="B188">
        <v>1000000187</v>
      </c>
      <c r="C188">
        <v>56000</v>
      </c>
      <c r="D188" t="s">
        <v>21</v>
      </c>
      <c r="E188" t="s">
        <v>25</v>
      </c>
    </row>
    <row r="189" spans="1:5" x14ac:dyDescent="0.3">
      <c r="A189" t="s">
        <v>12</v>
      </c>
      <c r="B189">
        <v>1000000188</v>
      </c>
      <c r="C189">
        <v>89000</v>
      </c>
      <c r="D189" t="s">
        <v>22</v>
      </c>
      <c r="E189" t="s">
        <v>26</v>
      </c>
    </row>
    <row r="190" spans="1:5" x14ac:dyDescent="0.3">
      <c r="A190" t="s">
        <v>13</v>
      </c>
      <c r="B190">
        <v>1000000189</v>
      </c>
      <c r="C190">
        <v>46000</v>
      </c>
      <c r="D190" t="s">
        <v>23</v>
      </c>
      <c r="E190" t="s">
        <v>25</v>
      </c>
    </row>
    <row r="191" spans="1:5" x14ac:dyDescent="0.3">
      <c r="A191" t="s">
        <v>14</v>
      </c>
      <c r="B191">
        <v>1000000190</v>
      </c>
      <c r="C191">
        <v>77000</v>
      </c>
      <c r="D191" t="s">
        <v>24</v>
      </c>
      <c r="E191" t="s">
        <v>26</v>
      </c>
    </row>
    <row r="192" spans="1:5" x14ac:dyDescent="0.3">
      <c r="A192" t="s">
        <v>5</v>
      </c>
      <c r="B192">
        <v>1000000191</v>
      </c>
      <c r="C192">
        <v>50000</v>
      </c>
      <c r="D192" t="s">
        <v>15</v>
      </c>
      <c r="E192" t="s">
        <v>25</v>
      </c>
    </row>
    <row r="193" spans="1:5" x14ac:dyDescent="0.3">
      <c r="A193" t="s">
        <v>6</v>
      </c>
      <c r="B193">
        <v>1000000192</v>
      </c>
      <c r="C193">
        <v>75000</v>
      </c>
      <c r="D193" t="s">
        <v>16</v>
      </c>
      <c r="E193" t="s">
        <v>26</v>
      </c>
    </row>
    <row r="194" spans="1:5" x14ac:dyDescent="0.3">
      <c r="A194" t="s">
        <v>7</v>
      </c>
      <c r="B194">
        <v>1000000193</v>
      </c>
      <c r="C194">
        <v>120000</v>
      </c>
      <c r="D194" t="s">
        <v>17</v>
      </c>
      <c r="E194" t="s">
        <v>25</v>
      </c>
    </row>
    <row r="195" spans="1:5" x14ac:dyDescent="0.3">
      <c r="A195" t="s">
        <v>8</v>
      </c>
      <c r="B195">
        <v>1000000194</v>
      </c>
      <c r="C195">
        <v>45000</v>
      </c>
      <c r="D195" t="s">
        <v>18</v>
      </c>
      <c r="E195" t="s">
        <v>26</v>
      </c>
    </row>
    <row r="196" spans="1:5" x14ac:dyDescent="0.3">
      <c r="A196" t="s">
        <v>9</v>
      </c>
      <c r="B196">
        <v>1000000195</v>
      </c>
      <c r="C196">
        <v>98000</v>
      </c>
      <c r="D196" t="s">
        <v>19</v>
      </c>
      <c r="E196" t="s">
        <v>25</v>
      </c>
    </row>
    <row r="197" spans="1:5" x14ac:dyDescent="0.3">
      <c r="A197" t="s">
        <v>10</v>
      </c>
      <c r="B197">
        <v>1000000196</v>
      </c>
      <c r="C197">
        <v>67000</v>
      </c>
      <c r="D197" t="s">
        <v>20</v>
      </c>
      <c r="E197" t="s">
        <v>26</v>
      </c>
    </row>
    <row r="198" spans="1:5" x14ac:dyDescent="0.3">
      <c r="A198" t="s">
        <v>11</v>
      </c>
      <c r="B198">
        <v>1000000197</v>
      </c>
      <c r="C198">
        <v>56000</v>
      </c>
      <c r="D198" t="s">
        <v>21</v>
      </c>
      <c r="E198" t="s">
        <v>25</v>
      </c>
    </row>
    <row r="199" spans="1:5" x14ac:dyDescent="0.3">
      <c r="A199" t="s">
        <v>12</v>
      </c>
      <c r="B199">
        <v>1000000198</v>
      </c>
      <c r="C199">
        <v>89000</v>
      </c>
      <c r="D199" t="s">
        <v>22</v>
      </c>
      <c r="E199" t="s">
        <v>26</v>
      </c>
    </row>
    <row r="200" spans="1:5" x14ac:dyDescent="0.3">
      <c r="A200" t="s">
        <v>13</v>
      </c>
      <c r="B200">
        <v>1000000199</v>
      </c>
      <c r="C200">
        <v>46000</v>
      </c>
      <c r="D200" t="s">
        <v>23</v>
      </c>
      <c r="E200" t="s">
        <v>25</v>
      </c>
    </row>
    <row r="201" spans="1:5" x14ac:dyDescent="0.3">
      <c r="A201" t="s">
        <v>14</v>
      </c>
      <c r="B201">
        <v>1000000200</v>
      </c>
      <c r="C201">
        <v>77000</v>
      </c>
      <c r="D201" t="s">
        <v>24</v>
      </c>
      <c r="E20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7F85-AA97-4656-84AE-129130A3B641}">
  <dimension ref="A1:O102"/>
  <sheetViews>
    <sheetView topLeftCell="B1" zoomScale="130" zoomScaleNormal="130" workbookViewId="0">
      <selection activeCell="H5" sqref="H5"/>
    </sheetView>
  </sheetViews>
  <sheetFormatPr defaultRowHeight="14.4" x14ac:dyDescent="0.3"/>
  <cols>
    <col min="1" max="1" width="14.6640625" bestFit="1" customWidth="1"/>
    <col min="2" max="2" width="15.44140625" bestFit="1" customWidth="1"/>
    <col min="3" max="3" width="12.33203125" bestFit="1" customWidth="1"/>
    <col min="4" max="4" width="10.6640625" bestFit="1" customWidth="1"/>
    <col min="5" max="5" width="12.5546875" bestFit="1" customWidth="1"/>
    <col min="6" max="6" width="13.88671875" customWidth="1"/>
    <col min="7" max="7" width="19.21875" customWidth="1"/>
    <col min="8" max="8" width="17.21875" customWidth="1"/>
    <col min="9" max="9" width="14.88671875" customWidth="1"/>
    <col min="10" max="10" width="13.88671875" customWidth="1"/>
    <col min="11" max="11" width="15.21875" bestFit="1" customWidth="1"/>
    <col min="12" max="12" width="15.44140625" bestFit="1" customWidth="1"/>
    <col min="13" max="13" width="12.33203125" bestFit="1" customWidth="1"/>
    <col min="14" max="14" width="7.5546875" bestFit="1" customWidth="1"/>
    <col min="15" max="15" width="12.5546875" bestFit="1" customWidth="1"/>
  </cols>
  <sheetData>
    <row r="1" spans="1:15" x14ac:dyDescent="0.3">
      <c r="A1" s="3" t="s">
        <v>27</v>
      </c>
      <c r="K1" s="3" t="s">
        <v>28</v>
      </c>
    </row>
    <row r="2" spans="1:1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</row>
    <row r="3" spans="1:15" x14ac:dyDescent="0.3">
      <c r="A3" t="s">
        <v>5</v>
      </c>
      <c r="B3">
        <v>1000000001</v>
      </c>
      <c r="C3">
        <v>50000</v>
      </c>
      <c r="D3" t="s">
        <v>15</v>
      </c>
      <c r="E3" t="s">
        <v>25</v>
      </c>
      <c r="K3" t="s">
        <v>6</v>
      </c>
      <c r="L3">
        <v>1000000002</v>
      </c>
      <c r="M3">
        <v>75000</v>
      </c>
      <c r="N3" t="s">
        <v>16</v>
      </c>
      <c r="O3" t="s">
        <v>26</v>
      </c>
    </row>
    <row r="4" spans="1:15" x14ac:dyDescent="0.3">
      <c r="A4" t="s">
        <v>7</v>
      </c>
      <c r="B4">
        <v>1000000003</v>
      </c>
      <c r="C4">
        <v>120000</v>
      </c>
      <c r="D4" t="s">
        <v>17</v>
      </c>
      <c r="E4" t="s">
        <v>25</v>
      </c>
      <c r="G4" s="2" t="s">
        <v>1</v>
      </c>
      <c r="H4">
        <v>1000000003</v>
      </c>
      <c r="K4" t="s">
        <v>8</v>
      </c>
      <c r="L4">
        <v>1000000004</v>
      </c>
      <c r="M4">
        <v>45000</v>
      </c>
      <c r="N4" t="s">
        <v>18</v>
      </c>
      <c r="O4" t="s">
        <v>26</v>
      </c>
    </row>
    <row r="5" spans="1:15" x14ac:dyDescent="0.3">
      <c r="A5" t="s">
        <v>9</v>
      </c>
      <c r="B5">
        <v>1000000005</v>
      </c>
      <c r="C5">
        <v>98000</v>
      </c>
      <c r="D5" t="s">
        <v>19</v>
      </c>
      <c r="E5" t="s">
        <v>25</v>
      </c>
      <c r="G5" s="2" t="s">
        <v>0</v>
      </c>
      <c r="H5" t="str">
        <f>_xlfn.XLOOKUP(H4,B:B,A:A,_xlfn.XLOOKUP(H4,L:L,K:K))</f>
        <v>Vivaan Kumar</v>
      </c>
      <c r="K5" t="s">
        <v>10</v>
      </c>
      <c r="L5">
        <v>1000000006</v>
      </c>
      <c r="M5">
        <v>67000</v>
      </c>
      <c r="N5" t="s">
        <v>20</v>
      </c>
      <c r="O5" t="s">
        <v>26</v>
      </c>
    </row>
    <row r="6" spans="1:15" x14ac:dyDescent="0.3">
      <c r="A6" s="4" t="s">
        <v>11</v>
      </c>
      <c r="B6" s="4">
        <v>1000000007</v>
      </c>
      <c r="C6">
        <v>56000</v>
      </c>
      <c r="D6" t="s">
        <v>21</v>
      </c>
      <c r="E6" t="s">
        <v>25</v>
      </c>
      <c r="G6" s="2"/>
      <c r="K6" t="s">
        <v>12</v>
      </c>
      <c r="L6">
        <v>1000000008</v>
      </c>
      <c r="M6">
        <v>89000</v>
      </c>
      <c r="N6" t="s">
        <v>22</v>
      </c>
      <c r="O6" t="s">
        <v>26</v>
      </c>
    </row>
    <row r="7" spans="1:15" x14ac:dyDescent="0.3">
      <c r="A7" t="s">
        <v>13</v>
      </c>
      <c r="B7">
        <v>1000000009</v>
      </c>
      <c r="C7">
        <v>46000</v>
      </c>
      <c r="D7" t="s">
        <v>23</v>
      </c>
      <c r="E7" t="s">
        <v>25</v>
      </c>
      <c r="G7" s="2"/>
      <c r="K7" t="s">
        <v>14</v>
      </c>
      <c r="L7">
        <v>1000000010</v>
      </c>
      <c r="M7">
        <v>77000</v>
      </c>
      <c r="N7" t="s">
        <v>24</v>
      </c>
      <c r="O7" t="s">
        <v>26</v>
      </c>
    </row>
    <row r="8" spans="1:15" x14ac:dyDescent="0.3">
      <c r="A8" t="s">
        <v>5</v>
      </c>
      <c r="B8">
        <v>1000000011</v>
      </c>
      <c r="C8">
        <v>50000</v>
      </c>
      <c r="D8" t="s">
        <v>15</v>
      </c>
      <c r="E8" t="s">
        <v>25</v>
      </c>
      <c r="G8" s="2"/>
      <c r="K8" t="s">
        <v>6</v>
      </c>
      <c r="L8">
        <v>1000000012</v>
      </c>
      <c r="M8">
        <v>75000</v>
      </c>
      <c r="N8" t="s">
        <v>16</v>
      </c>
      <c r="O8" t="s">
        <v>26</v>
      </c>
    </row>
    <row r="9" spans="1:15" x14ac:dyDescent="0.3">
      <c r="A9" t="s">
        <v>7</v>
      </c>
      <c r="B9">
        <v>1000000013</v>
      </c>
      <c r="C9">
        <v>120000</v>
      </c>
      <c r="D9" t="s">
        <v>17</v>
      </c>
      <c r="E9" t="s">
        <v>25</v>
      </c>
      <c r="G9" s="2"/>
      <c r="K9" t="s">
        <v>8</v>
      </c>
      <c r="L9">
        <v>1000000014</v>
      </c>
      <c r="M9">
        <v>45000</v>
      </c>
      <c r="N9" t="s">
        <v>18</v>
      </c>
      <c r="O9" t="s">
        <v>26</v>
      </c>
    </row>
    <row r="10" spans="1:15" x14ac:dyDescent="0.3">
      <c r="A10" t="s">
        <v>9</v>
      </c>
      <c r="B10">
        <v>1000000015</v>
      </c>
      <c r="C10">
        <v>98000</v>
      </c>
      <c r="D10" t="s">
        <v>19</v>
      </c>
      <c r="E10" t="s">
        <v>25</v>
      </c>
      <c r="G10" s="2"/>
      <c r="K10" t="s">
        <v>10</v>
      </c>
      <c r="L10">
        <v>1000000016</v>
      </c>
      <c r="M10">
        <v>67000</v>
      </c>
      <c r="N10" t="s">
        <v>20</v>
      </c>
      <c r="O10" t="s">
        <v>26</v>
      </c>
    </row>
    <row r="11" spans="1:15" x14ac:dyDescent="0.3">
      <c r="A11" t="s">
        <v>11</v>
      </c>
      <c r="B11">
        <v>1000000017</v>
      </c>
      <c r="C11">
        <v>56000</v>
      </c>
      <c r="D11" t="s">
        <v>21</v>
      </c>
      <c r="E11" t="s">
        <v>25</v>
      </c>
      <c r="K11" t="s">
        <v>12</v>
      </c>
      <c r="L11">
        <v>1000000018</v>
      </c>
      <c r="M11">
        <v>89000</v>
      </c>
      <c r="N11" t="s">
        <v>22</v>
      </c>
      <c r="O11" t="s">
        <v>26</v>
      </c>
    </row>
    <row r="12" spans="1:15" x14ac:dyDescent="0.3">
      <c r="A12" t="s">
        <v>13</v>
      </c>
      <c r="B12">
        <v>1000000019</v>
      </c>
      <c r="C12">
        <v>46000</v>
      </c>
      <c r="D12" t="s">
        <v>23</v>
      </c>
      <c r="E12" t="s">
        <v>25</v>
      </c>
      <c r="K12" t="s">
        <v>14</v>
      </c>
      <c r="L12">
        <v>1000000020</v>
      </c>
      <c r="M12">
        <v>77000</v>
      </c>
      <c r="N12" t="s">
        <v>24</v>
      </c>
      <c r="O12" t="s">
        <v>26</v>
      </c>
    </row>
    <row r="13" spans="1:15" x14ac:dyDescent="0.3">
      <c r="A13" t="s">
        <v>5</v>
      </c>
      <c r="B13">
        <v>1000000021</v>
      </c>
      <c r="C13">
        <v>50000</v>
      </c>
      <c r="D13" t="s">
        <v>15</v>
      </c>
      <c r="E13" t="s">
        <v>25</v>
      </c>
      <c r="K13" t="s">
        <v>6</v>
      </c>
      <c r="L13">
        <v>1000000022</v>
      </c>
      <c r="M13">
        <v>75000</v>
      </c>
      <c r="N13" t="s">
        <v>16</v>
      </c>
      <c r="O13" t="s">
        <v>26</v>
      </c>
    </row>
    <row r="14" spans="1:15" x14ac:dyDescent="0.3">
      <c r="A14" t="s">
        <v>7</v>
      </c>
      <c r="B14">
        <v>1000000023</v>
      </c>
      <c r="C14">
        <v>120000</v>
      </c>
      <c r="D14" t="s">
        <v>17</v>
      </c>
      <c r="E14" t="s">
        <v>25</v>
      </c>
      <c r="K14" t="s">
        <v>8</v>
      </c>
      <c r="L14">
        <v>1000000024</v>
      </c>
      <c r="M14">
        <v>45000</v>
      </c>
      <c r="N14" t="s">
        <v>18</v>
      </c>
      <c r="O14" t="s">
        <v>26</v>
      </c>
    </row>
    <row r="15" spans="1:15" x14ac:dyDescent="0.3">
      <c r="A15" t="s">
        <v>9</v>
      </c>
      <c r="B15">
        <v>1000000025</v>
      </c>
      <c r="C15">
        <v>98000</v>
      </c>
      <c r="D15" t="s">
        <v>19</v>
      </c>
      <c r="E15" t="s">
        <v>25</v>
      </c>
      <c r="K15" t="s">
        <v>10</v>
      </c>
      <c r="L15">
        <v>1000000026</v>
      </c>
      <c r="M15">
        <v>67000</v>
      </c>
      <c r="N15" t="s">
        <v>20</v>
      </c>
      <c r="O15" t="s">
        <v>26</v>
      </c>
    </row>
    <row r="16" spans="1:15" x14ac:dyDescent="0.3">
      <c r="A16" t="s">
        <v>11</v>
      </c>
      <c r="B16">
        <v>1000000027</v>
      </c>
      <c r="C16">
        <v>56000</v>
      </c>
      <c r="D16" t="s">
        <v>21</v>
      </c>
      <c r="E16" t="s">
        <v>25</v>
      </c>
      <c r="K16" t="s">
        <v>12</v>
      </c>
      <c r="L16">
        <v>1000000028</v>
      </c>
      <c r="M16">
        <v>89000</v>
      </c>
      <c r="N16" t="s">
        <v>22</v>
      </c>
      <c r="O16" t="s">
        <v>26</v>
      </c>
    </row>
    <row r="17" spans="1:15" x14ac:dyDescent="0.3">
      <c r="A17" t="s">
        <v>13</v>
      </c>
      <c r="B17">
        <v>1000000029</v>
      </c>
      <c r="C17">
        <v>46000</v>
      </c>
      <c r="D17" t="s">
        <v>23</v>
      </c>
      <c r="E17" t="s">
        <v>25</v>
      </c>
      <c r="K17" t="s">
        <v>14</v>
      </c>
      <c r="L17">
        <v>1000000030</v>
      </c>
      <c r="M17">
        <v>77000</v>
      </c>
      <c r="N17" t="s">
        <v>24</v>
      </c>
      <c r="O17" t="s">
        <v>26</v>
      </c>
    </row>
    <row r="18" spans="1:15" x14ac:dyDescent="0.3">
      <c r="A18" t="s">
        <v>5</v>
      </c>
      <c r="B18">
        <v>1000000031</v>
      </c>
      <c r="C18">
        <v>50000</v>
      </c>
      <c r="D18" t="s">
        <v>15</v>
      </c>
      <c r="E18" t="s">
        <v>25</v>
      </c>
      <c r="K18" t="s">
        <v>6</v>
      </c>
      <c r="L18">
        <v>1000000032</v>
      </c>
      <c r="M18">
        <v>75000</v>
      </c>
      <c r="N18" t="s">
        <v>16</v>
      </c>
      <c r="O18" t="s">
        <v>26</v>
      </c>
    </row>
    <row r="19" spans="1:15" x14ac:dyDescent="0.3">
      <c r="A19" t="s">
        <v>7</v>
      </c>
      <c r="B19">
        <v>1000000033</v>
      </c>
      <c r="C19">
        <v>120000</v>
      </c>
      <c r="D19" t="s">
        <v>17</v>
      </c>
      <c r="E19" t="s">
        <v>25</v>
      </c>
      <c r="K19" t="s">
        <v>8</v>
      </c>
      <c r="L19">
        <v>1000000034</v>
      </c>
      <c r="M19">
        <v>45000</v>
      </c>
      <c r="N19" t="s">
        <v>18</v>
      </c>
      <c r="O19" t="s">
        <v>26</v>
      </c>
    </row>
    <row r="20" spans="1:15" x14ac:dyDescent="0.3">
      <c r="A20" t="s">
        <v>9</v>
      </c>
      <c r="B20">
        <v>1000000035</v>
      </c>
      <c r="C20">
        <v>98000</v>
      </c>
      <c r="D20" t="s">
        <v>19</v>
      </c>
      <c r="E20" t="s">
        <v>25</v>
      </c>
      <c r="K20" t="s">
        <v>10</v>
      </c>
      <c r="L20">
        <v>1000000036</v>
      </c>
      <c r="M20">
        <v>67000</v>
      </c>
      <c r="N20" t="s">
        <v>20</v>
      </c>
      <c r="O20" t="s">
        <v>26</v>
      </c>
    </row>
    <row r="21" spans="1:15" x14ac:dyDescent="0.3">
      <c r="A21" t="s">
        <v>11</v>
      </c>
      <c r="B21">
        <v>1000000037</v>
      </c>
      <c r="C21">
        <v>56000</v>
      </c>
      <c r="D21" t="s">
        <v>21</v>
      </c>
      <c r="E21" t="s">
        <v>25</v>
      </c>
      <c r="K21" t="s">
        <v>12</v>
      </c>
      <c r="L21">
        <v>1000000038</v>
      </c>
      <c r="M21">
        <v>89000</v>
      </c>
      <c r="N21" t="s">
        <v>22</v>
      </c>
      <c r="O21" t="s">
        <v>26</v>
      </c>
    </row>
    <row r="22" spans="1:15" x14ac:dyDescent="0.3">
      <c r="A22" t="s">
        <v>13</v>
      </c>
      <c r="B22">
        <v>1000000039</v>
      </c>
      <c r="C22">
        <v>46000</v>
      </c>
      <c r="D22" t="s">
        <v>23</v>
      </c>
      <c r="E22" t="s">
        <v>25</v>
      </c>
      <c r="K22" t="s">
        <v>14</v>
      </c>
      <c r="L22">
        <v>1000000040</v>
      </c>
      <c r="M22">
        <v>77000</v>
      </c>
      <c r="N22" t="s">
        <v>24</v>
      </c>
      <c r="O22" t="s">
        <v>26</v>
      </c>
    </row>
    <row r="23" spans="1:15" x14ac:dyDescent="0.3">
      <c r="A23" t="s">
        <v>5</v>
      </c>
      <c r="B23">
        <v>1000000041</v>
      </c>
      <c r="C23">
        <v>50000</v>
      </c>
      <c r="D23" t="s">
        <v>15</v>
      </c>
      <c r="E23" t="s">
        <v>25</v>
      </c>
      <c r="K23" t="s">
        <v>6</v>
      </c>
      <c r="L23">
        <v>1000000042</v>
      </c>
      <c r="M23">
        <v>75000</v>
      </c>
      <c r="N23" t="s">
        <v>16</v>
      </c>
      <c r="O23" t="s">
        <v>26</v>
      </c>
    </row>
    <row r="24" spans="1:15" x14ac:dyDescent="0.3">
      <c r="A24" t="s">
        <v>7</v>
      </c>
      <c r="B24">
        <v>1000000043</v>
      </c>
      <c r="C24">
        <v>120000</v>
      </c>
      <c r="D24" t="s">
        <v>17</v>
      </c>
      <c r="E24" t="s">
        <v>25</v>
      </c>
      <c r="K24" t="s">
        <v>8</v>
      </c>
      <c r="L24">
        <v>1000000044</v>
      </c>
      <c r="M24">
        <v>45000</v>
      </c>
      <c r="N24" t="s">
        <v>18</v>
      </c>
      <c r="O24" t="s">
        <v>26</v>
      </c>
    </row>
    <row r="25" spans="1:15" x14ac:dyDescent="0.3">
      <c r="A25" t="s">
        <v>9</v>
      </c>
      <c r="B25">
        <v>1000000045</v>
      </c>
      <c r="C25">
        <v>98000</v>
      </c>
      <c r="D25" t="s">
        <v>19</v>
      </c>
      <c r="E25" t="s">
        <v>25</v>
      </c>
      <c r="K25" t="s">
        <v>10</v>
      </c>
      <c r="L25">
        <v>1000000046</v>
      </c>
      <c r="M25">
        <v>67000</v>
      </c>
      <c r="N25" t="s">
        <v>20</v>
      </c>
      <c r="O25" t="s">
        <v>26</v>
      </c>
    </row>
    <row r="26" spans="1:15" x14ac:dyDescent="0.3">
      <c r="A26" t="s">
        <v>11</v>
      </c>
      <c r="B26">
        <v>1000000047</v>
      </c>
      <c r="C26">
        <v>56000</v>
      </c>
      <c r="D26" t="s">
        <v>21</v>
      </c>
      <c r="E26" t="s">
        <v>25</v>
      </c>
      <c r="K26" t="s">
        <v>12</v>
      </c>
      <c r="L26">
        <v>1000000048</v>
      </c>
      <c r="M26">
        <v>89000</v>
      </c>
      <c r="N26" t="s">
        <v>22</v>
      </c>
      <c r="O26" t="s">
        <v>26</v>
      </c>
    </row>
    <row r="27" spans="1:15" x14ac:dyDescent="0.3">
      <c r="A27" t="s">
        <v>13</v>
      </c>
      <c r="B27">
        <v>1000000049</v>
      </c>
      <c r="C27">
        <v>46000</v>
      </c>
      <c r="D27" t="s">
        <v>23</v>
      </c>
      <c r="E27" t="s">
        <v>25</v>
      </c>
      <c r="K27" t="s">
        <v>14</v>
      </c>
      <c r="L27">
        <v>1000000050</v>
      </c>
      <c r="M27">
        <v>77000</v>
      </c>
      <c r="N27" t="s">
        <v>24</v>
      </c>
      <c r="O27" t="s">
        <v>26</v>
      </c>
    </row>
    <row r="28" spans="1:15" x14ac:dyDescent="0.3">
      <c r="A28" t="s">
        <v>5</v>
      </c>
      <c r="B28">
        <v>1000000051</v>
      </c>
      <c r="C28">
        <v>50000</v>
      </c>
      <c r="D28" t="s">
        <v>15</v>
      </c>
      <c r="E28" t="s">
        <v>25</v>
      </c>
      <c r="K28" t="s">
        <v>6</v>
      </c>
      <c r="L28">
        <v>1000000052</v>
      </c>
      <c r="M28">
        <v>75000</v>
      </c>
      <c r="N28" t="s">
        <v>16</v>
      </c>
      <c r="O28" t="s">
        <v>26</v>
      </c>
    </row>
    <row r="29" spans="1:15" x14ac:dyDescent="0.3">
      <c r="A29" t="s">
        <v>7</v>
      </c>
      <c r="B29">
        <v>1000000053</v>
      </c>
      <c r="C29">
        <v>120000</v>
      </c>
      <c r="D29" t="s">
        <v>17</v>
      </c>
      <c r="E29" t="s">
        <v>25</v>
      </c>
      <c r="K29" t="s">
        <v>8</v>
      </c>
      <c r="L29">
        <v>1000000054</v>
      </c>
      <c r="M29">
        <v>45000</v>
      </c>
      <c r="N29" t="s">
        <v>18</v>
      </c>
      <c r="O29" t="s">
        <v>26</v>
      </c>
    </row>
    <row r="30" spans="1:15" x14ac:dyDescent="0.3">
      <c r="A30" t="s">
        <v>9</v>
      </c>
      <c r="B30">
        <v>1000000055</v>
      </c>
      <c r="C30">
        <v>98000</v>
      </c>
      <c r="D30" t="s">
        <v>19</v>
      </c>
      <c r="E30" t="s">
        <v>25</v>
      </c>
      <c r="K30" t="s">
        <v>10</v>
      </c>
      <c r="L30">
        <v>1000000056</v>
      </c>
      <c r="M30">
        <v>67000</v>
      </c>
      <c r="N30" t="s">
        <v>20</v>
      </c>
      <c r="O30" t="s">
        <v>26</v>
      </c>
    </row>
    <row r="31" spans="1:15" x14ac:dyDescent="0.3">
      <c r="A31" t="s">
        <v>11</v>
      </c>
      <c r="B31">
        <v>1000000057</v>
      </c>
      <c r="C31">
        <v>56000</v>
      </c>
      <c r="D31" t="s">
        <v>21</v>
      </c>
      <c r="E31" t="s">
        <v>25</v>
      </c>
      <c r="K31" t="s">
        <v>12</v>
      </c>
      <c r="L31">
        <v>1000000058</v>
      </c>
      <c r="M31">
        <v>89000</v>
      </c>
      <c r="N31" t="s">
        <v>22</v>
      </c>
      <c r="O31" t="s">
        <v>26</v>
      </c>
    </row>
    <row r="32" spans="1:15" x14ac:dyDescent="0.3">
      <c r="A32" t="s">
        <v>13</v>
      </c>
      <c r="B32">
        <v>1000000059</v>
      </c>
      <c r="C32">
        <v>46000</v>
      </c>
      <c r="D32" t="s">
        <v>23</v>
      </c>
      <c r="E32" t="s">
        <v>25</v>
      </c>
      <c r="K32" t="s">
        <v>14</v>
      </c>
      <c r="L32">
        <v>1000000060</v>
      </c>
      <c r="M32">
        <v>77000</v>
      </c>
      <c r="N32" t="s">
        <v>24</v>
      </c>
      <c r="O32" t="s">
        <v>26</v>
      </c>
    </row>
    <row r="33" spans="1:15" x14ac:dyDescent="0.3">
      <c r="A33" t="s">
        <v>5</v>
      </c>
      <c r="B33">
        <v>1000000061</v>
      </c>
      <c r="C33">
        <v>50000</v>
      </c>
      <c r="D33" t="s">
        <v>15</v>
      </c>
      <c r="E33" t="s">
        <v>25</v>
      </c>
      <c r="K33" t="s">
        <v>6</v>
      </c>
      <c r="L33">
        <v>1000000062</v>
      </c>
      <c r="M33">
        <v>75000</v>
      </c>
      <c r="N33" t="s">
        <v>16</v>
      </c>
      <c r="O33" t="s">
        <v>26</v>
      </c>
    </row>
    <row r="34" spans="1:15" x14ac:dyDescent="0.3">
      <c r="A34" t="s">
        <v>7</v>
      </c>
      <c r="B34">
        <v>1000000063</v>
      </c>
      <c r="C34">
        <v>120000</v>
      </c>
      <c r="D34" t="s">
        <v>17</v>
      </c>
      <c r="E34" t="s">
        <v>25</v>
      </c>
      <c r="K34" t="s">
        <v>8</v>
      </c>
      <c r="L34">
        <v>1000000064</v>
      </c>
      <c r="M34">
        <v>45000</v>
      </c>
      <c r="N34" t="s">
        <v>18</v>
      </c>
      <c r="O34" t="s">
        <v>26</v>
      </c>
    </row>
    <row r="35" spans="1:15" x14ac:dyDescent="0.3">
      <c r="A35" t="s">
        <v>9</v>
      </c>
      <c r="B35">
        <v>1000000065</v>
      </c>
      <c r="C35">
        <v>98000</v>
      </c>
      <c r="D35" t="s">
        <v>19</v>
      </c>
      <c r="E35" t="s">
        <v>25</v>
      </c>
      <c r="K35" t="s">
        <v>10</v>
      </c>
      <c r="L35">
        <v>1000000066</v>
      </c>
      <c r="M35">
        <v>67000</v>
      </c>
      <c r="N35" t="s">
        <v>20</v>
      </c>
      <c r="O35" t="s">
        <v>26</v>
      </c>
    </row>
    <row r="36" spans="1:15" x14ac:dyDescent="0.3">
      <c r="A36" t="s">
        <v>11</v>
      </c>
      <c r="B36">
        <v>1000000067</v>
      </c>
      <c r="C36">
        <v>56000</v>
      </c>
      <c r="D36" t="s">
        <v>21</v>
      </c>
      <c r="E36" t="s">
        <v>25</v>
      </c>
      <c r="K36" t="s">
        <v>12</v>
      </c>
      <c r="L36">
        <v>1000000068</v>
      </c>
      <c r="M36">
        <v>89000</v>
      </c>
      <c r="N36" t="s">
        <v>22</v>
      </c>
      <c r="O36" t="s">
        <v>26</v>
      </c>
    </row>
    <row r="37" spans="1:15" x14ac:dyDescent="0.3">
      <c r="A37" t="s">
        <v>13</v>
      </c>
      <c r="B37">
        <v>1000000069</v>
      </c>
      <c r="C37">
        <v>46000</v>
      </c>
      <c r="D37" t="s">
        <v>23</v>
      </c>
      <c r="E37" t="s">
        <v>25</v>
      </c>
      <c r="K37" t="s">
        <v>14</v>
      </c>
      <c r="L37">
        <v>1000000070</v>
      </c>
      <c r="M37">
        <v>77000</v>
      </c>
      <c r="N37" t="s">
        <v>24</v>
      </c>
      <c r="O37" t="s">
        <v>26</v>
      </c>
    </row>
    <row r="38" spans="1:15" x14ac:dyDescent="0.3">
      <c r="A38" t="s">
        <v>5</v>
      </c>
      <c r="B38">
        <v>1000000071</v>
      </c>
      <c r="C38">
        <v>50000</v>
      </c>
      <c r="D38" t="s">
        <v>15</v>
      </c>
      <c r="E38" t="s">
        <v>25</v>
      </c>
      <c r="K38" t="s">
        <v>6</v>
      </c>
      <c r="L38">
        <v>1000000072</v>
      </c>
      <c r="M38">
        <v>75000</v>
      </c>
      <c r="N38" t="s">
        <v>16</v>
      </c>
      <c r="O38" t="s">
        <v>26</v>
      </c>
    </row>
    <row r="39" spans="1:15" x14ac:dyDescent="0.3">
      <c r="A39" t="s">
        <v>7</v>
      </c>
      <c r="B39">
        <v>1000000073</v>
      </c>
      <c r="C39">
        <v>120000</v>
      </c>
      <c r="D39" t="s">
        <v>17</v>
      </c>
      <c r="E39" t="s">
        <v>25</v>
      </c>
      <c r="K39" t="s">
        <v>8</v>
      </c>
      <c r="L39">
        <v>1000000074</v>
      </c>
      <c r="M39">
        <v>45000</v>
      </c>
      <c r="N39" t="s">
        <v>18</v>
      </c>
      <c r="O39" t="s">
        <v>26</v>
      </c>
    </row>
    <row r="40" spans="1:15" x14ac:dyDescent="0.3">
      <c r="A40" t="s">
        <v>9</v>
      </c>
      <c r="B40">
        <v>1000000075</v>
      </c>
      <c r="C40">
        <v>98000</v>
      </c>
      <c r="D40" t="s">
        <v>19</v>
      </c>
      <c r="E40" t="s">
        <v>25</v>
      </c>
      <c r="K40" t="s">
        <v>10</v>
      </c>
      <c r="L40">
        <v>1000000076</v>
      </c>
      <c r="M40">
        <v>67000</v>
      </c>
      <c r="N40" t="s">
        <v>20</v>
      </c>
      <c r="O40" t="s">
        <v>26</v>
      </c>
    </row>
    <row r="41" spans="1:15" x14ac:dyDescent="0.3">
      <c r="A41" t="s">
        <v>11</v>
      </c>
      <c r="B41">
        <v>1000000077</v>
      </c>
      <c r="C41">
        <v>56000</v>
      </c>
      <c r="D41" t="s">
        <v>21</v>
      </c>
      <c r="E41" t="s">
        <v>25</v>
      </c>
      <c r="K41" t="s">
        <v>12</v>
      </c>
      <c r="L41">
        <v>1000000078</v>
      </c>
      <c r="M41">
        <v>89000</v>
      </c>
      <c r="N41" t="s">
        <v>22</v>
      </c>
      <c r="O41" t="s">
        <v>26</v>
      </c>
    </row>
    <row r="42" spans="1:15" x14ac:dyDescent="0.3">
      <c r="A42" t="s">
        <v>13</v>
      </c>
      <c r="B42">
        <v>1000000079</v>
      </c>
      <c r="C42">
        <v>46000</v>
      </c>
      <c r="D42" t="s">
        <v>23</v>
      </c>
      <c r="E42" t="s">
        <v>25</v>
      </c>
      <c r="K42" t="s">
        <v>14</v>
      </c>
      <c r="L42">
        <v>1000000080</v>
      </c>
      <c r="M42">
        <v>77000</v>
      </c>
      <c r="N42" t="s">
        <v>24</v>
      </c>
      <c r="O42" t="s">
        <v>26</v>
      </c>
    </row>
    <row r="43" spans="1:15" x14ac:dyDescent="0.3">
      <c r="A43" t="s">
        <v>5</v>
      </c>
      <c r="B43">
        <v>1000000081</v>
      </c>
      <c r="C43">
        <v>50000</v>
      </c>
      <c r="D43" t="s">
        <v>15</v>
      </c>
      <c r="E43" t="s">
        <v>25</v>
      </c>
      <c r="K43" t="s">
        <v>6</v>
      </c>
      <c r="L43">
        <v>1000000082</v>
      </c>
      <c r="M43">
        <v>75000</v>
      </c>
      <c r="N43" t="s">
        <v>16</v>
      </c>
      <c r="O43" t="s">
        <v>26</v>
      </c>
    </row>
    <row r="44" spans="1:15" x14ac:dyDescent="0.3">
      <c r="A44" t="s">
        <v>7</v>
      </c>
      <c r="B44">
        <v>1000000083</v>
      </c>
      <c r="C44">
        <v>120000</v>
      </c>
      <c r="D44" t="s">
        <v>17</v>
      </c>
      <c r="E44" t="s">
        <v>25</v>
      </c>
      <c r="K44" t="s">
        <v>8</v>
      </c>
      <c r="L44">
        <v>1000000084</v>
      </c>
      <c r="M44">
        <v>45000</v>
      </c>
      <c r="N44" t="s">
        <v>18</v>
      </c>
      <c r="O44" t="s">
        <v>26</v>
      </c>
    </row>
    <row r="45" spans="1:15" x14ac:dyDescent="0.3">
      <c r="A45" t="s">
        <v>9</v>
      </c>
      <c r="B45">
        <v>1000000085</v>
      </c>
      <c r="C45">
        <v>98000</v>
      </c>
      <c r="D45" t="s">
        <v>19</v>
      </c>
      <c r="E45" t="s">
        <v>25</v>
      </c>
      <c r="K45" t="s">
        <v>10</v>
      </c>
      <c r="L45">
        <v>1000000086</v>
      </c>
      <c r="M45">
        <v>67000</v>
      </c>
      <c r="N45" t="s">
        <v>20</v>
      </c>
      <c r="O45" t="s">
        <v>26</v>
      </c>
    </row>
    <row r="46" spans="1:15" x14ac:dyDescent="0.3">
      <c r="A46" t="s">
        <v>11</v>
      </c>
      <c r="B46">
        <v>1000000087</v>
      </c>
      <c r="C46">
        <v>56000</v>
      </c>
      <c r="D46" t="s">
        <v>21</v>
      </c>
      <c r="E46" t="s">
        <v>25</v>
      </c>
      <c r="K46" t="s">
        <v>12</v>
      </c>
      <c r="L46">
        <v>1000000088</v>
      </c>
      <c r="M46">
        <v>89000</v>
      </c>
      <c r="N46" t="s">
        <v>22</v>
      </c>
      <c r="O46" t="s">
        <v>26</v>
      </c>
    </row>
    <row r="47" spans="1:15" x14ac:dyDescent="0.3">
      <c r="A47" t="s">
        <v>13</v>
      </c>
      <c r="B47">
        <v>1000000089</v>
      </c>
      <c r="C47">
        <v>46000</v>
      </c>
      <c r="D47" t="s">
        <v>23</v>
      </c>
      <c r="E47" t="s">
        <v>25</v>
      </c>
      <c r="K47" t="s">
        <v>14</v>
      </c>
      <c r="L47">
        <v>1000000090</v>
      </c>
      <c r="M47">
        <v>77000</v>
      </c>
      <c r="N47" t="s">
        <v>24</v>
      </c>
      <c r="O47" t="s">
        <v>26</v>
      </c>
    </row>
    <row r="48" spans="1:15" x14ac:dyDescent="0.3">
      <c r="A48" t="s">
        <v>5</v>
      </c>
      <c r="B48">
        <v>1000000091</v>
      </c>
      <c r="C48">
        <v>50000</v>
      </c>
      <c r="D48" t="s">
        <v>15</v>
      </c>
      <c r="E48" t="s">
        <v>25</v>
      </c>
      <c r="K48" t="s">
        <v>6</v>
      </c>
      <c r="L48">
        <v>1000000092</v>
      </c>
      <c r="M48">
        <v>75000</v>
      </c>
      <c r="N48" t="s">
        <v>16</v>
      </c>
      <c r="O48" t="s">
        <v>26</v>
      </c>
    </row>
    <row r="49" spans="1:15" x14ac:dyDescent="0.3">
      <c r="A49" t="s">
        <v>7</v>
      </c>
      <c r="B49">
        <v>1000000093</v>
      </c>
      <c r="C49">
        <v>120000</v>
      </c>
      <c r="D49" t="s">
        <v>17</v>
      </c>
      <c r="E49" t="s">
        <v>25</v>
      </c>
      <c r="K49" t="s">
        <v>8</v>
      </c>
      <c r="L49">
        <v>1000000094</v>
      </c>
      <c r="M49">
        <v>45000</v>
      </c>
      <c r="N49" t="s">
        <v>18</v>
      </c>
      <c r="O49" t="s">
        <v>26</v>
      </c>
    </row>
    <row r="50" spans="1:15" x14ac:dyDescent="0.3">
      <c r="A50" t="s">
        <v>9</v>
      </c>
      <c r="B50">
        <v>1000000095</v>
      </c>
      <c r="C50">
        <v>98000</v>
      </c>
      <c r="D50" t="s">
        <v>19</v>
      </c>
      <c r="E50" t="s">
        <v>25</v>
      </c>
      <c r="K50" t="s">
        <v>10</v>
      </c>
      <c r="L50">
        <v>1000000096</v>
      </c>
      <c r="M50">
        <v>67000</v>
      </c>
      <c r="N50" t="s">
        <v>20</v>
      </c>
      <c r="O50" t="s">
        <v>26</v>
      </c>
    </row>
    <row r="51" spans="1:15" x14ac:dyDescent="0.3">
      <c r="A51" t="s">
        <v>11</v>
      </c>
      <c r="B51">
        <v>1000000097</v>
      </c>
      <c r="C51">
        <v>56000</v>
      </c>
      <c r="D51" t="s">
        <v>21</v>
      </c>
      <c r="E51" t="s">
        <v>25</v>
      </c>
      <c r="K51" t="s">
        <v>12</v>
      </c>
      <c r="L51">
        <v>1000000098</v>
      </c>
      <c r="M51">
        <v>89000</v>
      </c>
      <c r="N51" t="s">
        <v>22</v>
      </c>
      <c r="O51" t="s">
        <v>26</v>
      </c>
    </row>
    <row r="52" spans="1:15" x14ac:dyDescent="0.3">
      <c r="A52" t="s">
        <v>13</v>
      </c>
      <c r="B52">
        <v>1000000099</v>
      </c>
      <c r="C52">
        <v>46000</v>
      </c>
      <c r="D52" t="s">
        <v>23</v>
      </c>
      <c r="E52" t="s">
        <v>25</v>
      </c>
      <c r="K52" t="s">
        <v>14</v>
      </c>
      <c r="L52">
        <v>1000000100</v>
      </c>
      <c r="M52">
        <v>77000</v>
      </c>
      <c r="N52" t="s">
        <v>24</v>
      </c>
      <c r="O52" t="s">
        <v>26</v>
      </c>
    </row>
    <row r="53" spans="1:15" x14ac:dyDescent="0.3">
      <c r="A53" t="s">
        <v>5</v>
      </c>
      <c r="B53">
        <v>1000000101</v>
      </c>
      <c r="C53">
        <v>50000</v>
      </c>
      <c r="D53" t="s">
        <v>15</v>
      </c>
      <c r="E53" t="s">
        <v>25</v>
      </c>
      <c r="K53" t="s">
        <v>6</v>
      </c>
      <c r="L53">
        <v>1000000102</v>
      </c>
      <c r="M53">
        <v>75000</v>
      </c>
      <c r="N53" t="s">
        <v>16</v>
      </c>
      <c r="O53" t="s">
        <v>26</v>
      </c>
    </row>
    <row r="54" spans="1:15" x14ac:dyDescent="0.3">
      <c r="A54" t="s">
        <v>7</v>
      </c>
      <c r="B54">
        <v>1000000103</v>
      </c>
      <c r="C54">
        <v>120000</v>
      </c>
      <c r="D54" t="s">
        <v>17</v>
      </c>
      <c r="E54" t="s">
        <v>25</v>
      </c>
      <c r="K54" t="s">
        <v>8</v>
      </c>
      <c r="L54">
        <v>1000000104</v>
      </c>
      <c r="M54">
        <v>45000</v>
      </c>
      <c r="N54" t="s">
        <v>18</v>
      </c>
      <c r="O54" t="s">
        <v>26</v>
      </c>
    </row>
    <row r="55" spans="1:15" x14ac:dyDescent="0.3">
      <c r="A55" t="s">
        <v>9</v>
      </c>
      <c r="B55">
        <v>1000000105</v>
      </c>
      <c r="C55">
        <v>98000</v>
      </c>
      <c r="D55" t="s">
        <v>19</v>
      </c>
      <c r="E55" t="s">
        <v>25</v>
      </c>
      <c r="K55" t="s">
        <v>10</v>
      </c>
      <c r="L55">
        <v>1000000106</v>
      </c>
      <c r="M55">
        <v>67000</v>
      </c>
      <c r="N55" t="s">
        <v>20</v>
      </c>
      <c r="O55" t="s">
        <v>26</v>
      </c>
    </row>
    <row r="56" spans="1:15" x14ac:dyDescent="0.3">
      <c r="A56" t="s">
        <v>11</v>
      </c>
      <c r="B56">
        <v>1000000107</v>
      </c>
      <c r="C56">
        <v>56000</v>
      </c>
      <c r="D56" t="s">
        <v>21</v>
      </c>
      <c r="E56" t="s">
        <v>25</v>
      </c>
      <c r="K56" t="s">
        <v>12</v>
      </c>
      <c r="L56">
        <v>1000000108</v>
      </c>
      <c r="M56">
        <v>89000</v>
      </c>
      <c r="N56" t="s">
        <v>22</v>
      </c>
      <c r="O56" t="s">
        <v>26</v>
      </c>
    </row>
    <row r="57" spans="1:15" x14ac:dyDescent="0.3">
      <c r="A57" t="s">
        <v>13</v>
      </c>
      <c r="B57">
        <v>1000000109</v>
      </c>
      <c r="C57">
        <v>46000</v>
      </c>
      <c r="D57" t="s">
        <v>23</v>
      </c>
      <c r="E57" t="s">
        <v>25</v>
      </c>
      <c r="K57" t="s">
        <v>14</v>
      </c>
      <c r="L57">
        <v>1000000110</v>
      </c>
      <c r="M57">
        <v>77000</v>
      </c>
      <c r="N57" t="s">
        <v>24</v>
      </c>
      <c r="O57" t="s">
        <v>26</v>
      </c>
    </row>
    <row r="58" spans="1:15" x14ac:dyDescent="0.3">
      <c r="A58" t="s">
        <v>5</v>
      </c>
      <c r="B58">
        <v>1000000111</v>
      </c>
      <c r="C58">
        <v>50000</v>
      </c>
      <c r="D58" t="s">
        <v>15</v>
      </c>
      <c r="E58" t="s">
        <v>25</v>
      </c>
      <c r="K58" t="s">
        <v>6</v>
      </c>
      <c r="L58">
        <v>1000000112</v>
      </c>
      <c r="M58">
        <v>75000</v>
      </c>
      <c r="N58" t="s">
        <v>16</v>
      </c>
      <c r="O58" t="s">
        <v>26</v>
      </c>
    </row>
    <row r="59" spans="1:15" x14ac:dyDescent="0.3">
      <c r="A59" t="s">
        <v>7</v>
      </c>
      <c r="B59">
        <v>1000000113</v>
      </c>
      <c r="C59">
        <v>120000</v>
      </c>
      <c r="D59" t="s">
        <v>17</v>
      </c>
      <c r="E59" t="s">
        <v>25</v>
      </c>
      <c r="K59" t="s">
        <v>8</v>
      </c>
      <c r="L59">
        <v>1000000114</v>
      </c>
      <c r="M59">
        <v>45000</v>
      </c>
      <c r="N59" t="s">
        <v>18</v>
      </c>
      <c r="O59" t="s">
        <v>26</v>
      </c>
    </row>
    <row r="60" spans="1:15" x14ac:dyDescent="0.3">
      <c r="A60" t="s">
        <v>9</v>
      </c>
      <c r="B60">
        <v>1000000115</v>
      </c>
      <c r="C60">
        <v>98000</v>
      </c>
      <c r="D60" t="s">
        <v>19</v>
      </c>
      <c r="E60" t="s">
        <v>25</v>
      </c>
      <c r="K60" t="s">
        <v>10</v>
      </c>
      <c r="L60">
        <v>1000000116</v>
      </c>
      <c r="M60">
        <v>67000</v>
      </c>
      <c r="N60" t="s">
        <v>20</v>
      </c>
      <c r="O60" t="s">
        <v>26</v>
      </c>
    </row>
    <row r="61" spans="1:15" x14ac:dyDescent="0.3">
      <c r="A61" t="s">
        <v>11</v>
      </c>
      <c r="B61">
        <v>1000000117</v>
      </c>
      <c r="C61">
        <v>56000</v>
      </c>
      <c r="D61" t="s">
        <v>21</v>
      </c>
      <c r="E61" t="s">
        <v>25</v>
      </c>
      <c r="K61" t="s">
        <v>12</v>
      </c>
      <c r="L61">
        <v>1000000118</v>
      </c>
      <c r="M61">
        <v>89000</v>
      </c>
      <c r="N61" t="s">
        <v>22</v>
      </c>
      <c r="O61" t="s">
        <v>26</v>
      </c>
    </row>
    <row r="62" spans="1:15" x14ac:dyDescent="0.3">
      <c r="A62" t="s">
        <v>13</v>
      </c>
      <c r="B62">
        <v>1000000119</v>
      </c>
      <c r="C62">
        <v>46000</v>
      </c>
      <c r="D62" t="s">
        <v>23</v>
      </c>
      <c r="E62" t="s">
        <v>25</v>
      </c>
      <c r="K62" t="s">
        <v>14</v>
      </c>
      <c r="L62">
        <v>1000000120</v>
      </c>
      <c r="M62">
        <v>77000</v>
      </c>
      <c r="N62" t="s">
        <v>24</v>
      </c>
      <c r="O62" t="s">
        <v>26</v>
      </c>
    </row>
    <row r="63" spans="1:15" x14ac:dyDescent="0.3">
      <c r="A63" t="s">
        <v>5</v>
      </c>
      <c r="B63">
        <v>1000000121</v>
      </c>
      <c r="C63">
        <v>50000</v>
      </c>
      <c r="D63" t="s">
        <v>15</v>
      </c>
      <c r="E63" t="s">
        <v>25</v>
      </c>
      <c r="K63" t="s">
        <v>6</v>
      </c>
      <c r="L63">
        <v>1000000122</v>
      </c>
      <c r="M63">
        <v>75000</v>
      </c>
      <c r="N63" t="s">
        <v>16</v>
      </c>
      <c r="O63" t="s">
        <v>26</v>
      </c>
    </row>
    <row r="64" spans="1:15" x14ac:dyDescent="0.3">
      <c r="A64" t="s">
        <v>7</v>
      </c>
      <c r="B64">
        <v>1000000123</v>
      </c>
      <c r="C64">
        <v>120000</v>
      </c>
      <c r="D64" t="s">
        <v>17</v>
      </c>
      <c r="E64" t="s">
        <v>25</v>
      </c>
      <c r="K64" t="s">
        <v>8</v>
      </c>
      <c r="L64">
        <v>1000000124</v>
      </c>
      <c r="M64">
        <v>45000</v>
      </c>
      <c r="N64" t="s">
        <v>18</v>
      </c>
      <c r="O64" t="s">
        <v>26</v>
      </c>
    </row>
    <row r="65" spans="1:15" x14ac:dyDescent="0.3">
      <c r="A65" t="s">
        <v>9</v>
      </c>
      <c r="B65">
        <v>1000000125</v>
      </c>
      <c r="C65">
        <v>98000</v>
      </c>
      <c r="D65" t="s">
        <v>19</v>
      </c>
      <c r="E65" t="s">
        <v>25</v>
      </c>
      <c r="K65" t="s">
        <v>10</v>
      </c>
      <c r="L65">
        <v>1000000126</v>
      </c>
      <c r="M65">
        <v>67000</v>
      </c>
      <c r="N65" t="s">
        <v>20</v>
      </c>
      <c r="O65" t="s">
        <v>26</v>
      </c>
    </row>
    <row r="66" spans="1:15" x14ac:dyDescent="0.3">
      <c r="A66" t="s">
        <v>11</v>
      </c>
      <c r="B66">
        <v>1000000127</v>
      </c>
      <c r="C66">
        <v>56000</v>
      </c>
      <c r="D66" t="s">
        <v>21</v>
      </c>
      <c r="E66" t="s">
        <v>25</v>
      </c>
      <c r="K66" t="s">
        <v>12</v>
      </c>
      <c r="L66">
        <v>1000000128</v>
      </c>
      <c r="M66">
        <v>89000</v>
      </c>
      <c r="N66" t="s">
        <v>22</v>
      </c>
      <c r="O66" t="s">
        <v>26</v>
      </c>
    </row>
    <row r="67" spans="1:15" x14ac:dyDescent="0.3">
      <c r="A67" t="s">
        <v>13</v>
      </c>
      <c r="B67">
        <v>1000000129</v>
      </c>
      <c r="C67">
        <v>46000</v>
      </c>
      <c r="D67" t="s">
        <v>23</v>
      </c>
      <c r="E67" t="s">
        <v>25</v>
      </c>
      <c r="K67" t="s">
        <v>14</v>
      </c>
      <c r="L67">
        <v>1000000130</v>
      </c>
      <c r="M67">
        <v>77000</v>
      </c>
      <c r="N67" t="s">
        <v>24</v>
      </c>
      <c r="O67" t="s">
        <v>26</v>
      </c>
    </row>
    <row r="68" spans="1:15" x14ac:dyDescent="0.3">
      <c r="A68" t="s">
        <v>5</v>
      </c>
      <c r="B68">
        <v>1000000131</v>
      </c>
      <c r="C68">
        <v>50000</v>
      </c>
      <c r="D68" t="s">
        <v>15</v>
      </c>
      <c r="E68" t="s">
        <v>25</v>
      </c>
      <c r="K68" t="s">
        <v>6</v>
      </c>
      <c r="L68">
        <v>1000000132</v>
      </c>
      <c r="M68">
        <v>75000</v>
      </c>
      <c r="N68" t="s">
        <v>16</v>
      </c>
      <c r="O68" t="s">
        <v>26</v>
      </c>
    </row>
    <row r="69" spans="1:15" x14ac:dyDescent="0.3">
      <c r="A69" t="s">
        <v>7</v>
      </c>
      <c r="B69">
        <v>1000000133</v>
      </c>
      <c r="C69">
        <v>120000</v>
      </c>
      <c r="D69" t="s">
        <v>17</v>
      </c>
      <c r="E69" t="s">
        <v>25</v>
      </c>
      <c r="K69" t="s">
        <v>8</v>
      </c>
      <c r="L69">
        <v>1000000134</v>
      </c>
      <c r="M69">
        <v>45000</v>
      </c>
      <c r="N69" t="s">
        <v>18</v>
      </c>
      <c r="O69" t="s">
        <v>26</v>
      </c>
    </row>
    <row r="70" spans="1:15" x14ac:dyDescent="0.3">
      <c r="A70" t="s">
        <v>9</v>
      </c>
      <c r="B70">
        <v>1000000135</v>
      </c>
      <c r="C70">
        <v>98000</v>
      </c>
      <c r="D70" t="s">
        <v>19</v>
      </c>
      <c r="E70" t="s">
        <v>25</v>
      </c>
      <c r="K70" t="s">
        <v>10</v>
      </c>
      <c r="L70">
        <v>1000000136</v>
      </c>
      <c r="M70">
        <v>67000</v>
      </c>
      <c r="N70" t="s">
        <v>20</v>
      </c>
      <c r="O70" t="s">
        <v>26</v>
      </c>
    </row>
    <row r="71" spans="1:15" x14ac:dyDescent="0.3">
      <c r="A71" t="s">
        <v>11</v>
      </c>
      <c r="B71">
        <v>1000000137</v>
      </c>
      <c r="C71">
        <v>56000</v>
      </c>
      <c r="D71" t="s">
        <v>21</v>
      </c>
      <c r="E71" t="s">
        <v>25</v>
      </c>
      <c r="K71" t="s">
        <v>12</v>
      </c>
      <c r="L71">
        <v>1000000138</v>
      </c>
      <c r="M71">
        <v>89000</v>
      </c>
      <c r="N71" t="s">
        <v>22</v>
      </c>
      <c r="O71" t="s">
        <v>26</v>
      </c>
    </row>
    <row r="72" spans="1:15" x14ac:dyDescent="0.3">
      <c r="A72" t="s">
        <v>13</v>
      </c>
      <c r="B72">
        <v>1000000139</v>
      </c>
      <c r="C72">
        <v>46000</v>
      </c>
      <c r="D72" t="s">
        <v>23</v>
      </c>
      <c r="E72" t="s">
        <v>25</v>
      </c>
      <c r="K72" t="s">
        <v>14</v>
      </c>
      <c r="L72">
        <v>1000000140</v>
      </c>
      <c r="M72">
        <v>77000</v>
      </c>
      <c r="N72" t="s">
        <v>24</v>
      </c>
      <c r="O72" t="s">
        <v>26</v>
      </c>
    </row>
    <row r="73" spans="1:15" x14ac:dyDescent="0.3">
      <c r="A73" t="s">
        <v>5</v>
      </c>
      <c r="B73">
        <v>1000000141</v>
      </c>
      <c r="C73">
        <v>50000</v>
      </c>
      <c r="D73" t="s">
        <v>15</v>
      </c>
      <c r="E73" t="s">
        <v>25</v>
      </c>
      <c r="K73" t="s">
        <v>6</v>
      </c>
      <c r="L73">
        <v>1000000142</v>
      </c>
      <c r="M73">
        <v>75000</v>
      </c>
      <c r="N73" t="s">
        <v>16</v>
      </c>
      <c r="O73" t="s">
        <v>26</v>
      </c>
    </row>
    <row r="74" spans="1:15" x14ac:dyDescent="0.3">
      <c r="A74" t="s">
        <v>7</v>
      </c>
      <c r="B74">
        <v>1000000143</v>
      </c>
      <c r="C74">
        <v>120000</v>
      </c>
      <c r="D74" t="s">
        <v>17</v>
      </c>
      <c r="E74" t="s">
        <v>25</v>
      </c>
      <c r="K74" t="s">
        <v>8</v>
      </c>
      <c r="L74">
        <v>1000000144</v>
      </c>
      <c r="M74">
        <v>45000</v>
      </c>
      <c r="N74" t="s">
        <v>18</v>
      </c>
      <c r="O74" t="s">
        <v>26</v>
      </c>
    </row>
    <row r="75" spans="1:15" x14ac:dyDescent="0.3">
      <c r="A75" t="s">
        <v>9</v>
      </c>
      <c r="B75">
        <v>1000000145</v>
      </c>
      <c r="C75">
        <v>98000</v>
      </c>
      <c r="D75" t="s">
        <v>19</v>
      </c>
      <c r="E75" t="s">
        <v>25</v>
      </c>
      <c r="K75" t="s">
        <v>10</v>
      </c>
      <c r="L75">
        <v>1000000146</v>
      </c>
      <c r="M75">
        <v>67000</v>
      </c>
      <c r="N75" t="s">
        <v>20</v>
      </c>
      <c r="O75" t="s">
        <v>26</v>
      </c>
    </row>
    <row r="76" spans="1:15" x14ac:dyDescent="0.3">
      <c r="A76" t="s">
        <v>11</v>
      </c>
      <c r="B76">
        <v>1000000147</v>
      </c>
      <c r="C76">
        <v>56000</v>
      </c>
      <c r="D76" t="s">
        <v>21</v>
      </c>
      <c r="E76" t="s">
        <v>25</v>
      </c>
      <c r="K76" t="s">
        <v>12</v>
      </c>
      <c r="L76">
        <v>1000000148</v>
      </c>
      <c r="M76">
        <v>89000</v>
      </c>
      <c r="N76" t="s">
        <v>22</v>
      </c>
      <c r="O76" t="s">
        <v>26</v>
      </c>
    </row>
    <row r="77" spans="1:15" x14ac:dyDescent="0.3">
      <c r="A77" t="s">
        <v>13</v>
      </c>
      <c r="B77">
        <v>1000000149</v>
      </c>
      <c r="C77">
        <v>46000</v>
      </c>
      <c r="D77" t="s">
        <v>23</v>
      </c>
      <c r="E77" t="s">
        <v>25</v>
      </c>
      <c r="K77" t="s">
        <v>14</v>
      </c>
      <c r="L77">
        <v>1000000150</v>
      </c>
      <c r="M77">
        <v>77000</v>
      </c>
      <c r="N77" t="s">
        <v>24</v>
      </c>
      <c r="O77" t="s">
        <v>26</v>
      </c>
    </row>
    <row r="78" spans="1:15" x14ac:dyDescent="0.3">
      <c r="A78" t="s">
        <v>5</v>
      </c>
      <c r="B78">
        <v>1000000151</v>
      </c>
      <c r="C78">
        <v>50000</v>
      </c>
      <c r="D78" t="s">
        <v>15</v>
      </c>
      <c r="E78" t="s">
        <v>25</v>
      </c>
      <c r="K78" t="s">
        <v>6</v>
      </c>
      <c r="L78">
        <v>1000000152</v>
      </c>
      <c r="M78">
        <v>75000</v>
      </c>
      <c r="N78" t="s">
        <v>16</v>
      </c>
      <c r="O78" t="s">
        <v>26</v>
      </c>
    </row>
    <row r="79" spans="1:15" x14ac:dyDescent="0.3">
      <c r="A79" t="s">
        <v>7</v>
      </c>
      <c r="B79">
        <v>1000000153</v>
      </c>
      <c r="C79">
        <v>120000</v>
      </c>
      <c r="D79" t="s">
        <v>17</v>
      </c>
      <c r="E79" t="s">
        <v>25</v>
      </c>
      <c r="K79" t="s">
        <v>8</v>
      </c>
      <c r="L79">
        <v>1000000154</v>
      </c>
      <c r="M79">
        <v>45000</v>
      </c>
      <c r="N79" t="s">
        <v>18</v>
      </c>
      <c r="O79" t="s">
        <v>26</v>
      </c>
    </row>
    <row r="80" spans="1:15" x14ac:dyDescent="0.3">
      <c r="A80" t="s">
        <v>9</v>
      </c>
      <c r="B80">
        <v>1000000155</v>
      </c>
      <c r="C80">
        <v>98000</v>
      </c>
      <c r="D80" t="s">
        <v>19</v>
      </c>
      <c r="E80" t="s">
        <v>25</v>
      </c>
      <c r="K80" t="s">
        <v>10</v>
      </c>
      <c r="L80">
        <v>1000000156</v>
      </c>
      <c r="M80">
        <v>67000</v>
      </c>
      <c r="N80" t="s">
        <v>20</v>
      </c>
      <c r="O80" t="s">
        <v>26</v>
      </c>
    </row>
    <row r="81" spans="1:15" x14ac:dyDescent="0.3">
      <c r="A81" t="s">
        <v>11</v>
      </c>
      <c r="B81">
        <v>1000000157</v>
      </c>
      <c r="C81">
        <v>56000</v>
      </c>
      <c r="D81" t="s">
        <v>21</v>
      </c>
      <c r="E81" t="s">
        <v>25</v>
      </c>
      <c r="K81" t="s">
        <v>12</v>
      </c>
      <c r="L81">
        <v>1000000158</v>
      </c>
      <c r="M81">
        <v>89000</v>
      </c>
      <c r="N81" t="s">
        <v>22</v>
      </c>
      <c r="O81" t="s">
        <v>26</v>
      </c>
    </row>
    <row r="82" spans="1:15" x14ac:dyDescent="0.3">
      <c r="A82" t="s">
        <v>13</v>
      </c>
      <c r="B82">
        <v>1000000159</v>
      </c>
      <c r="C82">
        <v>46000</v>
      </c>
      <c r="D82" t="s">
        <v>23</v>
      </c>
      <c r="E82" t="s">
        <v>25</v>
      </c>
      <c r="K82" t="s">
        <v>14</v>
      </c>
      <c r="L82">
        <v>1000000160</v>
      </c>
      <c r="M82">
        <v>77000</v>
      </c>
      <c r="N82" t="s">
        <v>24</v>
      </c>
      <c r="O82" t="s">
        <v>26</v>
      </c>
    </row>
    <row r="83" spans="1:15" x14ac:dyDescent="0.3">
      <c r="A83" t="s">
        <v>5</v>
      </c>
      <c r="B83">
        <v>1000000161</v>
      </c>
      <c r="C83">
        <v>50000</v>
      </c>
      <c r="D83" t="s">
        <v>15</v>
      </c>
      <c r="E83" t="s">
        <v>25</v>
      </c>
      <c r="K83" t="s">
        <v>6</v>
      </c>
      <c r="L83">
        <v>1000000162</v>
      </c>
      <c r="M83">
        <v>75000</v>
      </c>
      <c r="N83" t="s">
        <v>16</v>
      </c>
      <c r="O83" t="s">
        <v>26</v>
      </c>
    </row>
    <row r="84" spans="1:15" x14ac:dyDescent="0.3">
      <c r="A84" t="s">
        <v>7</v>
      </c>
      <c r="B84">
        <v>1000000163</v>
      </c>
      <c r="C84">
        <v>120000</v>
      </c>
      <c r="D84" t="s">
        <v>17</v>
      </c>
      <c r="E84" t="s">
        <v>25</v>
      </c>
      <c r="K84" t="s">
        <v>8</v>
      </c>
      <c r="L84">
        <v>1000000164</v>
      </c>
      <c r="M84">
        <v>45000</v>
      </c>
      <c r="N84" t="s">
        <v>18</v>
      </c>
      <c r="O84" t="s">
        <v>26</v>
      </c>
    </row>
    <row r="85" spans="1:15" x14ac:dyDescent="0.3">
      <c r="A85" t="s">
        <v>9</v>
      </c>
      <c r="B85">
        <v>1000000165</v>
      </c>
      <c r="C85">
        <v>98000</v>
      </c>
      <c r="D85" t="s">
        <v>19</v>
      </c>
      <c r="E85" t="s">
        <v>25</v>
      </c>
      <c r="K85" t="s">
        <v>10</v>
      </c>
      <c r="L85">
        <v>1000000166</v>
      </c>
      <c r="M85">
        <v>67000</v>
      </c>
      <c r="N85" t="s">
        <v>20</v>
      </c>
      <c r="O85" t="s">
        <v>26</v>
      </c>
    </row>
    <row r="86" spans="1:15" x14ac:dyDescent="0.3">
      <c r="A86" t="s">
        <v>11</v>
      </c>
      <c r="B86">
        <v>1000000167</v>
      </c>
      <c r="C86">
        <v>56000</v>
      </c>
      <c r="D86" t="s">
        <v>21</v>
      </c>
      <c r="E86" t="s">
        <v>25</v>
      </c>
      <c r="K86" t="s">
        <v>12</v>
      </c>
      <c r="L86">
        <v>1000000168</v>
      </c>
      <c r="M86">
        <v>89000</v>
      </c>
      <c r="N86" t="s">
        <v>22</v>
      </c>
      <c r="O86" t="s">
        <v>26</v>
      </c>
    </row>
    <row r="87" spans="1:15" x14ac:dyDescent="0.3">
      <c r="A87" t="s">
        <v>13</v>
      </c>
      <c r="B87">
        <v>1000000169</v>
      </c>
      <c r="C87">
        <v>46000</v>
      </c>
      <c r="D87" t="s">
        <v>23</v>
      </c>
      <c r="E87" t="s">
        <v>25</v>
      </c>
      <c r="K87" t="s">
        <v>14</v>
      </c>
      <c r="L87">
        <v>1000000170</v>
      </c>
      <c r="M87">
        <v>77000</v>
      </c>
      <c r="N87" t="s">
        <v>24</v>
      </c>
      <c r="O87" t="s">
        <v>26</v>
      </c>
    </row>
    <row r="88" spans="1:15" x14ac:dyDescent="0.3">
      <c r="A88" t="s">
        <v>5</v>
      </c>
      <c r="B88">
        <v>1000000171</v>
      </c>
      <c r="C88">
        <v>50000</v>
      </c>
      <c r="D88" t="s">
        <v>15</v>
      </c>
      <c r="E88" t="s">
        <v>25</v>
      </c>
      <c r="K88" t="s">
        <v>6</v>
      </c>
      <c r="L88">
        <v>1000000172</v>
      </c>
      <c r="M88">
        <v>75000</v>
      </c>
      <c r="N88" t="s">
        <v>16</v>
      </c>
      <c r="O88" t="s">
        <v>26</v>
      </c>
    </row>
    <row r="89" spans="1:15" x14ac:dyDescent="0.3">
      <c r="A89" t="s">
        <v>7</v>
      </c>
      <c r="B89">
        <v>1000000173</v>
      </c>
      <c r="C89">
        <v>120000</v>
      </c>
      <c r="D89" t="s">
        <v>17</v>
      </c>
      <c r="E89" t="s">
        <v>25</v>
      </c>
      <c r="K89" t="s">
        <v>8</v>
      </c>
      <c r="L89">
        <v>1000000174</v>
      </c>
      <c r="M89">
        <v>45000</v>
      </c>
      <c r="N89" t="s">
        <v>18</v>
      </c>
      <c r="O89" t="s">
        <v>26</v>
      </c>
    </row>
    <row r="90" spans="1:15" x14ac:dyDescent="0.3">
      <c r="A90" t="s">
        <v>9</v>
      </c>
      <c r="B90">
        <v>1000000175</v>
      </c>
      <c r="C90">
        <v>98000</v>
      </c>
      <c r="D90" t="s">
        <v>19</v>
      </c>
      <c r="E90" t="s">
        <v>25</v>
      </c>
      <c r="K90" t="s">
        <v>10</v>
      </c>
      <c r="L90">
        <v>1000000176</v>
      </c>
      <c r="M90">
        <v>67000</v>
      </c>
      <c r="N90" t="s">
        <v>20</v>
      </c>
      <c r="O90" t="s">
        <v>26</v>
      </c>
    </row>
    <row r="91" spans="1:15" x14ac:dyDescent="0.3">
      <c r="A91" t="s">
        <v>11</v>
      </c>
      <c r="B91">
        <v>1000000177</v>
      </c>
      <c r="C91">
        <v>56000</v>
      </c>
      <c r="D91" t="s">
        <v>21</v>
      </c>
      <c r="E91" t="s">
        <v>25</v>
      </c>
      <c r="K91" t="s">
        <v>12</v>
      </c>
      <c r="L91">
        <v>1000000178</v>
      </c>
      <c r="M91">
        <v>89000</v>
      </c>
      <c r="N91" t="s">
        <v>22</v>
      </c>
      <c r="O91" t="s">
        <v>26</v>
      </c>
    </row>
    <row r="92" spans="1:15" x14ac:dyDescent="0.3">
      <c r="A92" t="s">
        <v>13</v>
      </c>
      <c r="B92">
        <v>1000000179</v>
      </c>
      <c r="C92">
        <v>46000</v>
      </c>
      <c r="D92" t="s">
        <v>23</v>
      </c>
      <c r="E92" t="s">
        <v>25</v>
      </c>
      <c r="K92" t="s">
        <v>14</v>
      </c>
      <c r="L92">
        <v>1000000180</v>
      </c>
      <c r="M92">
        <v>77000</v>
      </c>
      <c r="N92" t="s">
        <v>24</v>
      </c>
      <c r="O92" t="s">
        <v>26</v>
      </c>
    </row>
    <row r="93" spans="1:15" x14ac:dyDescent="0.3">
      <c r="A93" t="s">
        <v>5</v>
      </c>
      <c r="B93">
        <v>1000000181</v>
      </c>
      <c r="C93">
        <v>50000</v>
      </c>
      <c r="D93" t="s">
        <v>15</v>
      </c>
      <c r="E93" t="s">
        <v>25</v>
      </c>
      <c r="K93" t="s">
        <v>6</v>
      </c>
      <c r="L93">
        <v>1000000182</v>
      </c>
      <c r="M93">
        <v>75000</v>
      </c>
      <c r="N93" t="s">
        <v>16</v>
      </c>
      <c r="O93" t="s">
        <v>26</v>
      </c>
    </row>
    <row r="94" spans="1:15" x14ac:dyDescent="0.3">
      <c r="A94" t="s">
        <v>7</v>
      </c>
      <c r="B94">
        <v>1000000183</v>
      </c>
      <c r="C94">
        <v>120000</v>
      </c>
      <c r="D94" t="s">
        <v>17</v>
      </c>
      <c r="E94" t="s">
        <v>25</v>
      </c>
      <c r="K94" t="s">
        <v>8</v>
      </c>
      <c r="L94">
        <v>1000000184</v>
      </c>
      <c r="M94">
        <v>45000</v>
      </c>
      <c r="N94" t="s">
        <v>18</v>
      </c>
      <c r="O94" t="s">
        <v>26</v>
      </c>
    </row>
    <row r="95" spans="1:15" x14ac:dyDescent="0.3">
      <c r="A95" t="s">
        <v>9</v>
      </c>
      <c r="B95">
        <v>1000000185</v>
      </c>
      <c r="C95">
        <v>98000</v>
      </c>
      <c r="D95" t="s">
        <v>19</v>
      </c>
      <c r="E95" t="s">
        <v>25</v>
      </c>
      <c r="K95" t="s">
        <v>10</v>
      </c>
      <c r="L95">
        <v>1000000186</v>
      </c>
      <c r="M95">
        <v>67000</v>
      </c>
      <c r="N95" t="s">
        <v>20</v>
      </c>
      <c r="O95" t="s">
        <v>26</v>
      </c>
    </row>
    <row r="96" spans="1:15" x14ac:dyDescent="0.3">
      <c r="A96" t="s">
        <v>11</v>
      </c>
      <c r="B96">
        <v>1000000187</v>
      </c>
      <c r="C96">
        <v>56000</v>
      </c>
      <c r="D96" t="s">
        <v>21</v>
      </c>
      <c r="E96" t="s">
        <v>25</v>
      </c>
      <c r="K96" t="s">
        <v>12</v>
      </c>
      <c r="L96">
        <v>1000000188</v>
      </c>
      <c r="M96">
        <v>89000</v>
      </c>
      <c r="N96" t="s">
        <v>22</v>
      </c>
      <c r="O96" t="s">
        <v>26</v>
      </c>
    </row>
    <row r="97" spans="1:15" x14ac:dyDescent="0.3">
      <c r="A97" t="s">
        <v>13</v>
      </c>
      <c r="B97">
        <v>1000000189</v>
      </c>
      <c r="C97">
        <v>46000</v>
      </c>
      <c r="D97" t="s">
        <v>23</v>
      </c>
      <c r="E97" t="s">
        <v>25</v>
      </c>
      <c r="K97" t="s">
        <v>14</v>
      </c>
      <c r="L97">
        <v>1000000190</v>
      </c>
      <c r="M97">
        <v>77000</v>
      </c>
      <c r="N97" t="s">
        <v>24</v>
      </c>
      <c r="O97" t="s">
        <v>26</v>
      </c>
    </row>
    <row r="98" spans="1:15" x14ac:dyDescent="0.3">
      <c r="A98" t="s">
        <v>5</v>
      </c>
      <c r="B98">
        <v>1000000191</v>
      </c>
      <c r="C98">
        <v>50000</v>
      </c>
      <c r="D98" t="s">
        <v>15</v>
      </c>
      <c r="E98" t="s">
        <v>25</v>
      </c>
      <c r="K98" t="s">
        <v>6</v>
      </c>
      <c r="L98">
        <v>1000000192</v>
      </c>
      <c r="M98">
        <v>75000</v>
      </c>
      <c r="N98" t="s">
        <v>16</v>
      </c>
      <c r="O98" t="s">
        <v>26</v>
      </c>
    </row>
    <row r="99" spans="1:15" x14ac:dyDescent="0.3">
      <c r="A99" t="s">
        <v>7</v>
      </c>
      <c r="B99">
        <v>1000000193</v>
      </c>
      <c r="C99">
        <v>120000</v>
      </c>
      <c r="D99" t="s">
        <v>17</v>
      </c>
      <c r="E99" t="s">
        <v>25</v>
      </c>
      <c r="K99" t="s">
        <v>8</v>
      </c>
      <c r="L99">
        <v>1000000194</v>
      </c>
      <c r="M99">
        <v>45000</v>
      </c>
      <c r="N99" t="s">
        <v>18</v>
      </c>
      <c r="O99" t="s">
        <v>26</v>
      </c>
    </row>
    <row r="100" spans="1:15" x14ac:dyDescent="0.3">
      <c r="A100" t="s">
        <v>9</v>
      </c>
      <c r="B100">
        <v>1000000195</v>
      </c>
      <c r="C100">
        <v>98000</v>
      </c>
      <c r="D100" t="s">
        <v>19</v>
      </c>
      <c r="E100" t="s">
        <v>25</v>
      </c>
      <c r="K100" t="s">
        <v>10</v>
      </c>
      <c r="L100">
        <v>1000000196</v>
      </c>
      <c r="M100">
        <v>67000</v>
      </c>
      <c r="N100" t="s">
        <v>20</v>
      </c>
      <c r="O100" t="s">
        <v>26</v>
      </c>
    </row>
    <row r="101" spans="1:15" x14ac:dyDescent="0.3">
      <c r="A101" t="s">
        <v>11</v>
      </c>
      <c r="B101">
        <v>1000000197</v>
      </c>
      <c r="C101">
        <v>56000</v>
      </c>
      <c r="D101" t="s">
        <v>21</v>
      </c>
      <c r="E101" t="s">
        <v>25</v>
      </c>
      <c r="K101" t="s">
        <v>12</v>
      </c>
      <c r="L101">
        <v>1000000198</v>
      </c>
      <c r="M101">
        <v>89000</v>
      </c>
      <c r="N101" t="s">
        <v>22</v>
      </c>
      <c r="O101" t="s">
        <v>26</v>
      </c>
    </row>
    <row r="102" spans="1:15" x14ac:dyDescent="0.3">
      <c r="A102" t="s">
        <v>13</v>
      </c>
      <c r="B102">
        <v>1000000199</v>
      </c>
      <c r="C102">
        <v>46000</v>
      </c>
      <c r="D102" t="s">
        <v>23</v>
      </c>
      <c r="E102" t="s">
        <v>25</v>
      </c>
      <c r="K102" t="s">
        <v>14</v>
      </c>
      <c r="L102">
        <v>1000000200</v>
      </c>
      <c r="M102">
        <v>77000</v>
      </c>
      <c r="N102" t="s">
        <v>24</v>
      </c>
      <c r="O10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07B0-DFAF-48AA-B7A5-F06C75858AF8}">
  <dimension ref="A1:H17"/>
  <sheetViews>
    <sheetView zoomScale="130" zoomScaleNormal="130" workbookViewId="0">
      <selection activeCell="E9" sqref="E9"/>
    </sheetView>
  </sheetViews>
  <sheetFormatPr defaultRowHeight="14.4" x14ac:dyDescent="0.3"/>
  <cols>
    <col min="1" max="1" width="18.88671875" customWidth="1"/>
    <col min="2" max="2" width="12.33203125" bestFit="1" customWidth="1"/>
    <col min="3" max="3" width="15" bestFit="1" customWidth="1"/>
    <col min="7" max="8" width="15.77734375" customWidth="1"/>
  </cols>
  <sheetData>
    <row r="1" spans="1:8" x14ac:dyDescent="0.3">
      <c r="A1" s="3" t="s">
        <v>30</v>
      </c>
    </row>
    <row r="2" spans="1:8" x14ac:dyDescent="0.3">
      <c r="A2" s="1" t="s">
        <v>0</v>
      </c>
      <c r="B2" s="1" t="s">
        <v>2</v>
      </c>
      <c r="C2" s="3" t="s">
        <v>29</v>
      </c>
      <c r="G2" s="1" t="s">
        <v>2</v>
      </c>
      <c r="H2" s="3" t="s">
        <v>29</v>
      </c>
    </row>
    <row r="3" spans="1:8" x14ac:dyDescent="0.3">
      <c r="A3" t="s">
        <v>5</v>
      </c>
      <c r="B3">
        <v>45000</v>
      </c>
      <c r="C3">
        <f>_xlfn.XLOOKUP(B3,$G$2:$G$8,$H$2:$H$8,,1)</f>
        <v>80000</v>
      </c>
      <c r="G3">
        <v>0</v>
      </c>
      <c r="H3">
        <v>0</v>
      </c>
    </row>
    <row r="4" spans="1:8" x14ac:dyDescent="0.3">
      <c r="A4" t="s">
        <v>7</v>
      </c>
      <c r="B4">
        <v>120000</v>
      </c>
      <c r="C4">
        <f t="shared" ref="C4:C17" si="0">_xlfn.XLOOKUP(B4,$G$2:$G$8,$H$2:$H$8,,1)</f>
        <v>300000</v>
      </c>
      <c r="G4">
        <v>50000</v>
      </c>
      <c r="H4">
        <v>80000</v>
      </c>
    </row>
    <row r="5" spans="1:8" x14ac:dyDescent="0.3">
      <c r="A5" t="s">
        <v>9</v>
      </c>
      <c r="B5">
        <v>98000</v>
      </c>
      <c r="C5">
        <f t="shared" si="0"/>
        <v>150000</v>
      </c>
      <c r="G5">
        <v>100000</v>
      </c>
      <c r="H5">
        <v>150000</v>
      </c>
    </row>
    <row r="6" spans="1:8" x14ac:dyDescent="0.3">
      <c r="A6" t="s">
        <v>11</v>
      </c>
      <c r="B6">
        <v>56000</v>
      </c>
      <c r="C6">
        <f t="shared" si="0"/>
        <v>150000</v>
      </c>
      <c r="G6">
        <v>150000</v>
      </c>
      <c r="H6">
        <v>300000</v>
      </c>
    </row>
    <row r="7" spans="1:8" x14ac:dyDescent="0.3">
      <c r="A7" t="s">
        <v>13</v>
      </c>
      <c r="B7">
        <v>46000</v>
      </c>
      <c r="C7">
        <f t="shared" si="0"/>
        <v>80000</v>
      </c>
      <c r="G7">
        <v>200000</v>
      </c>
      <c r="H7">
        <v>400000</v>
      </c>
    </row>
    <row r="8" spans="1:8" x14ac:dyDescent="0.3">
      <c r="A8" t="s">
        <v>41</v>
      </c>
      <c r="B8">
        <v>50000</v>
      </c>
      <c r="C8">
        <f t="shared" si="0"/>
        <v>80000</v>
      </c>
      <c r="G8">
        <v>300000</v>
      </c>
      <c r="H8">
        <v>500000</v>
      </c>
    </row>
    <row r="9" spans="1:8" x14ac:dyDescent="0.3">
      <c r="A9" t="s">
        <v>32</v>
      </c>
      <c r="B9">
        <v>120000</v>
      </c>
      <c r="C9">
        <f t="shared" si="0"/>
        <v>300000</v>
      </c>
    </row>
    <row r="10" spans="1:8" x14ac:dyDescent="0.3">
      <c r="A10" t="s">
        <v>33</v>
      </c>
      <c r="B10">
        <v>50000</v>
      </c>
      <c r="C10">
        <f t="shared" si="0"/>
        <v>80000</v>
      </c>
      <c r="G10" s="1"/>
      <c r="H10" s="1"/>
    </row>
    <row r="11" spans="1:8" x14ac:dyDescent="0.3">
      <c r="A11" t="s">
        <v>34</v>
      </c>
      <c r="B11">
        <v>56000</v>
      </c>
      <c r="C11">
        <f t="shared" si="0"/>
        <v>150000</v>
      </c>
    </row>
    <row r="12" spans="1:8" x14ac:dyDescent="0.3">
      <c r="A12" t="s">
        <v>35</v>
      </c>
      <c r="B12">
        <v>46000</v>
      </c>
      <c r="C12">
        <f t="shared" si="0"/>
        <v>80000</v>
      </c>
      <c r="G12" t="s">
        <v>42</v>
      </c>
      <c r="H12">
        <f>_xlfn.XLOOKUP("*"&amp;G12&amp;"*",A2:A17,B2:B17,,2)</f>
        <v>45000</v>
      </c>
    </row>
    <row r="13" spans="1:8" x14ac:dyDescent="0.3">
      <c r="A13" t="s">
        <v>36</v>
      </c>
      <c r="B13">
        <v>50000</v>
      </c>
      <c r="C13">
        <f t="shared" si="0"/>
        <v>80000</v>
      </c>
    </row>
    <row r="14" spans="1:8" x14ac:dyDescent="0.3">
      <c r="A14" t="s">
        <v>37</v>
      </c>
      <c r="B14">
        <v>120000</v>
      </c>
      <c r="C14">
        <f t="shared" si="0"/>
        <v>300000</v>
      </c>
    </row>
    <row r="15" spans="1:8" x14ac:dyDescent="0.3">
      <c r="A15" t="s">
        <v>38</v>
      </c>
      <c r="B15">
        <v>220000</v>
      </c>
      <c r="C15">
        <f t="shared" si="0"/>
        <v>500000</v>
      </c>
    </row>
    <row r="16" spans="1:8" x14ac:dyDescent="0.3">
      <c r="A16" t="s">
        <v>39</v>
      </c>
      <c r="B16">
        <v>56000</v>
      </c>
      <c r="C16">
        <f t="shared" si="0"/>
        <v>150000</v>
      </c>
    </row>
    <row r="17" spans="1:3" x14ac:dyDescent="0.3">
      <c r="A17" t="s">
        <v>40</v>
      </c>
      <c r="B17">
        <v>46000</v>
      </c>
      <c r="C17">
        <f t="shared" si="0"/>
        <v>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2F6F-E923-40CE-A102-F861F7F14072}">
  <dimension ref="A1:G16"/>
  <sheetViews>
    <sheetView tabSelected="1" zoomScale="145" zoomScaleNormal="145" workbookViewId="0">
      <selection activeCell="E14" sqref="E14"/>
    </sheetView>
  </sheetViews>
  <sheetFormatPr defaultRowHeight="14.4" x14ac:dyDescent="0.3"/>
  <cols>
    <col min="1" max="1" width="15.44140625" bestFit="1" customWidth="1"/>
    <col min="2" max="2" width="12.33203125" bestFit="1" customWidth="1"/>
    <col min="6" max="6" width="12.5546875" bestFit="1" customWidth="1"/>
    <col min="7" max="7" width="17.5546875" customWidth="1"/>
  </cols>
  <sheetData>
    <row r="1" spans="1:7" x14ac:dyDescent="0.3">
      <c r="A1" s="1" t="s">
        <v>0</v>
      </c>
      <c r="B1" s="1" t="s">
        <v>2</v>
      </c>
    </row>
    <row r="2" spans="1:7" x14ac:dyDescent="0.3">
      <c r="A2" t="s">
        <v>5</v>
      </c>
      <c r="B2">
        <v>50000</v>
      </c>
    </row>
    <row r="3" spans="1:7" x14ac:dyDescent="0.3">
      <c r="A3" t="s">
        <v>7</v>
      </c>
      <c r="B3">
        <v>120000</v>
      </c>
    </row>
    <row r="4" spans="1:7" x14ac:dyDescent="0.3">
      <c r="A4" t="s">
        <v>9</v>
      </c>
      <c r="B4">
        <v>98000</v>
      </c>
      <c r="E4">
        <v>1</v>
      </c>
      <c r="F4">
        <v>120000</v>
      </c>
      <c r="G4" t="str">
        <f>_xlfn.XLOOKUP(F4,$B$1:$B$16,$A$1:$A$16,,,E4)</f>
        <v>Vivaan Kumar</v>
      </c>
    </row>
    <row r="5" spans="1:7" x14ac:dyDescent="0.3">
      <c r="A5" t="s">
        <v>11</v>
      </c>
      <c r="B5">
        <v>56000</v>
      </c>
      <c r="E5">
        <v>2</v>
      </c>
      <c r="F5">
        <v>120000</v>
      </c>
      <c r="G5" t="str">
        <f>_xlfn.XLOOKUP(F5,$B$1:$B$16,$A$1:$A$16,,,E5)</f>
        <v>Vinod Singh</v>
      </c>
    </row>
    <row r="6" spans="1:7" x14ac:dyDescent="0.3">
      <c r="A6" t="s">
        <v>13</v>
      </c>
      <c r="B6">
        <v>46000</v>
      </c>
      <c r="E6">
        <v>3</v>
      </c>
      <c r="F6">
        <v>120000</v>
      </c>
      <c r="G6" t="str">
        <f>_xlfn.XLOOKUP(F6,$B$1:$B$16,$A$1:$A$16,,,-1)</f>
        <v>Rupali Deskmukh</v>
      </c>
    </row>
    <row r="7" spans="1:7" x14ac:dyDescent="0.3">
      <c r="A7" t="s">
        <v>31</v>
      </c>
      <c r="B7">
        <v>50000</v>
      </c>
    </row>
    <row r="8" spans="1:7" x14ac:dyDescent="0.3">
      <c r="A8" t="s">
        <v>32</v>
      </c>
      <c r="B8">
        <v>120000</v>
      </c>
    </row>
    <row r="9" spans="1:7" x14ac:dyDescent="0.3">
      <c r="A9" t="s">
        <v>33</v>
      </c>
      <c r="B9">
        <v>98000</v>
      </c>
    </row>
    <row r="10" spans="1:7" x14ac:dyDescent="0.3">
      <c r="A10" t="s">
        <v>34</v>
      </c>
      <c r="B10">
        <v>56000</v>
      </c>
    </row>
    <row r="11" spans="1:7" x14ac:dyDescent="0.3">
      <c r="A11" t="s">
        <v>35</v>
      </c>
      <c r="B11">
        <v>46000</v>
      </c>
    </row>
    <row r="12" spans="1:7" x14ac:dyDescent="0.3">
      <c r="A12" t="s">
        <v>36</v>
      </c>
      <c r="B12">
        <v>50000</v>
      </c>
    </row>
    <row r="13" spans="1:7" x14ac:dyDescent="0.3">
      <c r="A13" t="s">
        <v>37</v>
      </c>
      <c r="B13">
        <v>120000</v>
      </c>
    </row>
    <row r="14" spans="1:7" x14ac:dyDescent="0.3">
      <c r="A14" t="s">
        <v>38</v>
      </c>
      <c r="B14">
        <v>220000</v>
      </c>
    </row>
    <row r="15" spans="1:7" x14ac:dyDescent="0.3">
      <c r="A15" t="s">
        <v>39</v>
      </c>
      <c r="B15">
        <v>56000</v>
      </c>
    </row>
    <row r="16" spans="1:7" x14ac:dyDescent="0.3">
      <c r="A16" t="s">
        <v>40</v>
      </c>
      <c r="B16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Xlookup 1</vt:lpstr>
      <vt:lpstr>Xlookup Dynamic</vt:lpstr>
      <vt:lpstr>Xlookup - IF NOT FOUND</vt:lpstr>
      <vt:lpstr>MatchType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2025-01-13T07:44:47Z</dcterms:created>
  <dcterms:modified xsi:type="dcterms:W3CDTF">2025-01-21T13:38:32Z</dcterms:modified>
</cp:coreProperties>
</file>