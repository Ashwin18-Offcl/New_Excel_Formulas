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New Excel Formulas\"/>
    </mc:Choice>
  </mc:AlternateContent>
  <xr:revisionPtr revIDLastSave="0" documentId="13_ncr:1_{C3E29243-A40F-4BB6-B5D5-229122868706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Sum Combination" sheetId="1" r:id="rId1"/>
    <sheet name="Advance Conditional FormattingS" sheetId="69" r:id="rId2"/>
    <sheet name="Conditional Formatting Blank Ce" sheetId="70" r:id="rId3"/>
    <sheet name="Sequence" sheetId="2" r:id="rId4"/>
    <sheet name="Indirect" sheetId="3" r:id="rId5"/>
    <sheet name="Filter " sheetId="4" r:id="rId6"/>
    <sheet name="True False" sheetId="5" r:id="rId7"/>
    <sheet name="Information Formulas" sheetId="7" r:id="rId8"/>
    <sheet name="Count If Advance " sheetId="8" r:id="rId9"/>
    <sheet name="Substitute" sheetId="9" r:id="rId10"/>
    <sheet name="Countunique" sheetId="58" r:id="rId11"/>
    <sheet name="CountuniqueIfs" sheetId="59" r:id="rId12"/>
    <sheet name="Replace" sheetId="10" r:id="rId13"/>
    <sheet name="Information Functions" sheetId="11" r:id="rId14"/>
    <sheet name="Switch Function" sheetId="12" r:id="rId15"/>
    <sheet name="GetPivot Data Function" sheetId="13" r:id="rId16"/>
    <sheet name="Drop Function" sheetId="15" r:id="rId17"/>
    <sheet name="Expand Function" sheetId="16" r:id="rId18"/>
    <sheet name="Offset Function" sheetId="34" r:id="rId19"/>
    <sheet name="Int Function" sheetId="14" r:id="rId20"/>
    <sheet name="Mod Function" sheetId="17" r:id="rId21"/>
    <sheet name="Unique Function" sheetId="18" r:id="rId22"/>
    <sheet name="Search Function" sheetId="19" r:id="rId23"/>
    <sheet name="Find Function" sheetId="20" r:id="rId24"/>
    <sheet name="Reverse Function" sheetId="60" r:id="rId25"/>
    <sheet name="Reduce Function" sheetId="61" r:id="rId26"/>
    <sheet name="Lambda Function" sheetId="62" r:id="rId27"/>
    <sheet name="Concat" sheetId="21" r:id="rId28"/>
    <sheet name="Choose Function" sheetId="68" r:id="rId29"/>
    <sheet name="Value" sheetId="22" r:id="rId30"/>
    <sheet name="Scan" sheetId="63" r:id="rId31"/>
    <sheet name="REPT" sheetId="67" r:id="rId32"/>
    <sheet name="Unicode" sheetId="64" r:id="rId33"/>
    <sheet name="Unichar" sheetId="65" r:id="rId34"/>
    <sheet name="ENCODEURL" sheetId="66" r:id="rId35"/>
    <sheet name="Advance Or Function" sheetId="23" r:id="rId36"/>
    <sheet name="Advance And" sheetId="24" r:id="rId37"/>
    <sheet name="Rank Function" sheetId="26" r:id="rId38"/>
    <sheet name="IF Error" sheetId="38" r:id="rId39"/>
    <sheet name="Day Function" sheetId="39" r:id="rId40"/>
    <sheet name="Financial Functions (PMT)" sheetId="27" r:id="rId41"/>
    <sheet name="Financial Complete Function" sheetId="37" r:id="rId42"/>
    <sheet name="Financial Function(NPV)" sheetId="28" r:id="rId43"/>
    <sheet name="Financial Function (PV)" sheetId="29" r:id="rId44"/>
    <sheet name="Financial Function (NPER)" sheetId="30" r:id="rId45"/>
    <sheet name="Financial Function (XNPV)" sheetId="31" r:id="rId46"/>
    <sheet name="Financial Function (Rate)" sheetId="32" r:id="rId47"/>
    <sheet name="Financial Function (IRR)" sheetId="33" r:id="rId48"/>
    <sheet name="XIRR()" sheetId="35" r:id="rId49"/>
    <sheet name="Slope" sheetId="36" r:id="rId50"/>
    <sheet name="Lookup &amp; Reference" sheetId="42" r:id="rId51"/>
    <sheet name="Addresss" sheetId="44" r:id="rId52"/>
    <sheet name="Area" sheetId="45" r:id="rId53"/>
    <sheet name="Choosecols" sheetId="46" r:id="rId54"/>
    <sheet name="Chooserows" sheetId="47" r:id="rId55"/>
    <sheet name="Field Value" sheetId="48" r:id="rId56"/>
    <sheet name="Formula Text" sheetId="49" r:id="rId57"/>
    <sheet name="Text Function" sheetId="74" r:id="rId58"/>
    <sheet name="Text Join Function" sheetId="71" r:id="rId59"/>
    <sheet name="Value To Text" sheetId="72" r:id="rId60"/>
    <sheet name="Array To Text" sheetId="73" r:id="rId61"/>
    <sheet name="Hstack" sheetId="50" r:id="rId62"/>
    <sheet name="Vstack Dynamic Function" sheetId="76" r:id="rId63"/>
    <sheet name="Data Vstack Maharashtra" sheetId="77" r:id="rId64"/>
    <sheet name="Data Vstack Delhi" sheetId="75" r:id="rId65"/>
    <sheet name="RTD" sheetId="51" r:id="rId66"/>
    <sheet name="IMAGE" sheetId="52" r:id="rId67"/>
    <sheet name="SORT And SORT BY" sheetId="53" r:id="rId68"/>
    <sheet name="WRAPCOLS" sheetId="54" r:id="rId69"/>
    <sheet name="WRAPROWS" sheetId="55" r:id="rId70"/>
    <sheet name="Take" sheetId="57" r:id="rId71"/>
    <sheet name="TOROW &amp; TOCOLUMN" sheetId="40" r:id="rId72"/>
    <sheet name="Textsplit" sheetId="78" r:id="rId73"/>
    <sheet name="Text After" sheetId="79" r:id="rId74"/>
    <sheet name="Sheet1" sheetId="81" r:id="rId75"/>
    <sheet name="Text Before" sheetId="80" r:id="rId76"/>
    <sheet name="Ceilling &amp; Floor formula" sheetId="83" r:id="rId77"/>
  </sheets>
  <definedNames>
    <definedName name="_xlnm._FilterDatabase" localSheetId="15" hidden="1">'GetPivot Data Function'!$C$6:$G$16</definedName>
    <definedName name="Akash">Indirect!$G$3:$H$3</definedName>
    <definedName name="Amit">Indirect!$G$6:$H$6</definedName>
    <definedName name="Karan">Indirect!$G$11:$H$11</definedName>
    <definedName name="Kirtish">Indirect!$G$10:$H$10</definedName>
    <definedName name="Manish">Indirect!$G$4:$H$4</definedName>
    <definedName name="Name">Indirect!$G$3:$H$11</definedName>
    <definedName name="Rajesh">Indirect!$G$9:$H$9</definedName>
    <definedName name="Sales">Indirect!$H$3:$H$11</definedName>
    <definedName name="Sujay">Indirect!$G$5:$H$5</definedName>
    <definedName name="Sumit">Indirect!$G$7:$H$7</definedName>
    <definedName name="Zone">Indirect!$G$3:$G$11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" l="1" a="1"/>
  <c r="K22" i="2" s="1"/>
  <c r="L15" i="83" a="1"/>
  <c r="L15" i="83"/>
  <c r="L39" i="83"/>
  <c r="L48" i="83"/>
  <c r="L57" i="83"/>
  <c r="L65" i="83"/>
  <c r="L73" i="83"/>
  <c r="L82" i="83"/>
  <c r="L90" i="83"/>
  <c r="L100" i="83"/>
  <c r="L111" i="83"/>
  <c r="L121" i="83"/>
  <c r="L141" i="83"/>
  <c r="L142" i="83"/>
  <c r="L143" i="83"/>
  <c r="L144" i="83"/>
  <c r="L145" i="83"/>
  <c r="L146" i="83"/>
  <c r="B5" i="83"/>
  <c r="C3" i="58" a="1"/>
  <c r="C3" i="58" s="1"/>
  <c r="B3" i="58" a="1"/>
  <c r="B3" i="58" s="1"/>
  <c r="D5" i="9"/>
  <c r="D4" i="9"/>
  <c r="O34" i="8"/>
  <c r="O30" i="8"/>
  <c r="O26" i="8"/>
  <c r="O22" i="8"/>
  <c r="O18" i="8"/>
  <c r="D12" i="8"/>
  <c r="D13" i="8"/>
  <c r="D14" i="8"/>
  <c r="D15" i="8"/>
  <c r="D16" i="8"/>
  <c r="D17" i="8"/>
  <c r="D18" i="8"/>
  <c r="D11" i="8"/>
  <c r="J45" i="4" a="1"/>
  <c r="J45" i="4" s="1"/>
  <c r="J41" i="4" a="1"/>
  <c r="J41" i="4" s="1"/>
  <c r="N4" i="78"/>
  <c r="M5" i="78"/>
  <c r="N5" i="78"/>
  <c r="M7" i="78"/>
  <c r="O5" i="78"/>
  <c r="O6" i="78"/>
  <c r="O7" i="78"/>
  <c r="N7" i="78"/>
  <c r="N8" i="78"/>
  <c r="C3" i="78" a="1"/>
  <c r="C3" i="78" s="1"/>
  <c r="C23" i="40" a="1"/>
  <c r="C23" i="40" s="1"/>
  <c r="A23" i="40" a="1"/>
  <c r="A23" i="40" s="1"/>
  <c r="A11" i="57" a="1"/>
  <c r="A11" i="57" s="1"/>
  <c r="A14" i="54" a="1"/>
  <c r="A14" i="54" s="1"/>
  <c r="G8" i="50" a="1"/>
  <c r="G8" i="50" s="1"/>
  <c r="B8" i="50" a="1"/>
  <c r="B8" i="50" s="1"/>
  <c r="C5" i="76" a="1"/>
  <c r="C5" i="76" s="1"/>
  <c r="C5" i="74"/>
  <c r="C6" i="74"/>
  <c r="C7" i="74"/>
  <c r="C8" i="74"/>
  <c r="C9" i="74"/>
  <c r="C10" i="74"/>
  <c r="C11" i="74"/>
  <c r="C12" i="74"/>
  <c r="C4" i="74"/>
  <c r="D2" i="71"/>
  <c r="G2" i="47" a="1"/>
  <c r="G2" i="47" s="1"/>
  <c r="E3" i="47"/>
  <c r="E4" i="47"/>
  <c r="E5" i="47"/>
  <c r="E6" i="47"/>
  <c r="E7" i="47"/>
  <c r="E8" i="47"/>
  <c r="E9" i="47"/>
  <c r="E10" i="47"/>
  <c r="E11" i="47"/>
  <c r="E2" i="47"/>
  <c r="A16" i="46" a="1"/>
  <c r="A16" i="46" s="1"/>
  <c r="G33" i="8"/>
  <c r="D39" i="8"/>
  <c r="D38" i="8"/>
  <c r="D37" i="8"/>
  <c r="D36" i="8"/>
  <c r="D35" i="8"/>
  <c r="D34" i="8"/>
  <c r="D33" i="8"/>
  <c r="I30" i="8"/>
  <c r="G4" i="55" a="1"/>
  <c r="G4" i="55" s="1"/>
  <c r="C4" i="55" a="1"/>
  <c r="C4" i="55" s="1"/>
  <c r="L8" i="53" a="1"/>
  <c r="L8" i="53" s="1"/>
  <c r="B15" i="53" a="1"/>
  <c r="B15" i="53" s="1"/>
  <c r="G15" i="39"/>
  <c r="D18" i="38"/>
  <c r="C4" i="38"/>
  <c r="C5" i="38"/>
  <c r="C6" i="38"/>
  <c r="C7" i="38"/>
  <c r="C8" i="38"/>
  <c r="C9" i="38"/>
  <c r="C10" i="38"/>
  <c r="C2" i="38"/>
  <c r="H3" i="26"/>
  <c r="F3" i="26"/>
  <c r="G4" i="26"/>
  <c r="G16" i="26"/>
  <c r="G15" i="26"/>
  <c r="G13" i="26"/>
  <c r="G11" i="26"/>
  <c r="G9" i="26"/>
  <c r="G7" i="26"/>
  <c r="G5" i="26"/>
  <c r="G12" i="26"/>
  <c r="G14" i="26"/>
  <c r="G10" i="26"/>
  <c r="G6" i="26"/>
  <c r="G8" i="26"/>
  <c r="G17" i="26"/>
  <c r="G19" i="26"/>
  <c r="G18" i="26"/>
  <c r="G20" i="26"/>
  <c r="G3" i="26"/>
  <c r="D3" i="23"/>
  <c r="C4" i="23"/>
  <c r="C3" i="23"/>
  <c r="N2" i="65"/>
  <c r="D5" i="67"/>
  <c r="D4" i="67"/>
  <c r="C4" i="63" a="1"/>
  <c r="C4" i="63" s="1"/>
  <c r="I12" i="68"/>
  <c r="D3" i="62" a="1"/>
  <c r="D3" i="62" s="1"/>
  <c r="B2" i="61" a="1"/>
  <c r="B2" i="61" s="1"/>
  <c r="F4" i="60" a="1"/>
  <c r="F4" i="60" s="1"/>
  <c r="F5" i="60" a="1"/>
  <c r="F5" i="60"/>
  <c r="F6" i="60" a="1"/>
  <c r="F6" i="60"/>
  <c r="F7" i="60" a="1"/>
  <c r="F7" i="60" s="1"/>
  <c r="F8" i="60" a="1"/>
  <c r="F8" i="60"/>
  <c r="F9" i="60" a="1"/>
  <c r="F9" i="60"/>
  <c r="F3" i="60" a="1"/>
  <c r="F3" i="60"/>
  <c r="D3" i="60" a="1"/>
  <c r="D3" i="60"/>
  <c r="C7" i="20"/>
  <c r="C6" i="20"/>
  <c r="G6" i="19"/>
  <c r="G3" i="19"/>
  <c r="I2" i="14" a="1"/>
  <c r="I2" i="14" s="1"/>
  <c r="F7" i="18" a="1"/>
  <c r="F7" i="18" s="1"/>
  <c r="G8" i="15" a="1"/>
  <c r="G8" i="15" s="1"/>
  <c r="I32" i="3"/>
  <c r="M28" i="3"/>
  <c r="A57" i="53" a="1"/>
  <c r="A57" i="53" s="1"/>
  <c r="A66" i="53" a="1"/>
  <c r="A66" i="53" s="1"/>
  <c r="A74" i="53" a="1"/>
  <c r="A74" i="53" s="1"/>
  <c r="A89" i="53" a="1"/>
  <c r="A89" i="53" s="1"/>
  <c r="A97" i="53" a="1"/>
  <c r="A97" i="53" s="1"/>
  <c r="A106" i="53" a="1"/>
  <c r="A106" i="53" s="1"/>
  <c r="A114" i="53" a="1"/>
  <c r="A114" i="53" s="1"/>
  <c r="A47" i="63" a="1"/>
  <c r="A47" i="63" s="1"/>
  <c r="A56" i="63" a="1"/>
  <c r="A56" i="63" s="1"/>
  <c r="A66" i="63" a="1"/>
  <c r="A66" i="63" s="1"/>
  <c r="A75" i="63" a="1"/>
  <c r="A75" i="63" s="1"/>
  <c r="A84" i="63" a="1"/>
  <c r="A84" i="63" s="1"/>
  <c r="K3" i="67"/>
  <c r="D3" i="67"/>
  <c r="C85" i="37"/>
  <c r="B14" i="37"/>
  <c r="B11" i="37"/>
  <c r="B10" i="37"/>
  <c r="B9" i="37"/>
  <c r="C8" i="37"/>
  <c r="B8" i="37"/>
  <c r="C7" i="37"/>
  <c r="B7" i="37"/>
  <c r="E4" i="37"/>
  <c r="E3" i="37"/>
  <c r="H2" i="37"/>
  <c r="G2" i="37"/>
  <c r="F2" i="37"/>
  <c r="E2" i="37"/>
  <c r="A100" i="27"/>
  <c r="A88" i="27"/>
  <c r="A68" i="27"/>
  <c r="A54" i="27" a="1"/>
  <c r="A54" i="27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8" i="38"/>
  <c r="E18" i="38"/>
  <c r="F17" i="38"/>
  <c r="E17" i="38"/>
  <c r="D17" i="38"/>
  <c r="F16" i="38"/>
  <c r="E16" i="38"/>
  <c r="D16" i="38"/>
  <c r="F15" i="38"/>
  <c r="E15" i="38"/>
  <c r="D15" i="38"/>
  <c r="F14" i="38"/>
  <c r="E14" i="38"/>
  <c r="D14" i="38"/>
  <c r="B10" i="38"/>
  <c r="B9" i="38"/>
  <c r="B8" i="38"/>
  <c r="B7" i="38"/>
  <c r="N6" i="38"/>
  <c r="M6" i="38"/>
  <c r="B6" i="38"/>
  <c r="N5" i="38"/>
  <c r="M5" i="38"/>
  <c r="B5" i="38"/>
  <c r="N4" i="38"/>
  <c r="M4" i="38"/>
  <c r="B4" i="38"/>
  <c r="N3" i="38"/>
  <c r="M3" i="38"/>
  <c r="N2" i="38"/>
  <c r="M2" i="38"/>
  <c r="B2" i="38"/>
  <c r="L68" i="26"/>
  <c r="N61" i="26"/>
  <c r="N60" i="26"/>
  <c r="N59" i="26"/>
  <c r="N58" i="26"/>
  <c r="N57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D2" i="24"/>
  <c r="C9" i="23"/>
  <c r="C8" i="23"/>
  <c r="C7" i="23"/>
  <c r="C6" i="23"/>
  <c r="C5" i="23"/>
  <c r="A130" i="65"/>
  <c r="A108" i="65"/>
  <c r="A100" i="65"/>
  <c r="A92" i="65"/>
  <c r="A84" i="65"/>
  <c r="A76" i="65"/>
  <c r="A68" i="65"/>
  <c r="A60" i="65"/>
  <c r="A37" i="65" a="1"/>
  <c r="A37" i="65"/>
  <c r="M12" i="65"/>
  <c r="M11" i="65"/>
  <c r="M10" i="65"/>
  <c r="M9" i="65"/>
  <c r="M8" i="65"/>
  <c r="D8" i="65"/>
  <c r="M7" i="65"/>
  <c r="D7" i="65"/>
  <c r="M6" i="65"/>
  <c r="D6" i="65"/>
  <c r="M5" i="65"/>
  <c r="D5" i="65"/>
  <c r="M4" i="65"/>
  <c r="D4" i="65"/>
  <c r="M3" i="65"/>
  <c r="D3" i="65"/>
  <c r="M2" i="65"/>
  <c r="M1" i="65"/>
  <c r="A125" i="64"/>
  <c r="A117" i="64"/>
  <c r="A109" i="64"/>
  <c r="A101" i="64"/>
  <c r="A93" i="64"/>
  <c r="A85" i="64"/>
  <c r="A77" i="64"/>
  <c r="A69" i="64"/>
  <c r="A61" i="64"/>
  <c r="A53" i="64"/>
  <c r="A23" i="64" a="1"/>
  <c r="A23" i="64"/>
  <c r="C12" i="64"/>
  <c r="C11" i="64"/>
  <c r="C10" i="64"/>
  <c r="C9" i="64"/>
  <c r="C8" i="64"/>
  <c r="C7" i="64"/>
  <c r="C6" i="64"/>
  <c r="D5" i="64"/>
  <c r="C5" i="64"/>
  <c r="B155" i="22"/>
  <c r="B154" i="22"/>
  <c r="B153" i="22"/>
  <c r="B152" i="22"/>
  <c r="B151" i="22"/>
  <c r="A134" i="22"/>
  <c r="A124" i="22"/>
  <c r="A116" i="22"/>
  <c r="A110" i="22"/>
  <c r="A100" i="22"/>
  <c r="A84" i="22"/>
  <c r="A75" i="22"/>
  <c r="A66" i="22"/>
  <c r="A57" i="22"/>
  <c r="A48" i="22"/>
  <c r="A23" i="22" a="1"/>
  <c r="A23" i="22"/>
  <c r="F7" i="22"/>
  <c r="F6" i="22"/>
  <c r="F4" i="68"/>
  <c r="D2" i="21"/>
  <c r="A180" i="62" a="1"/>
  <c r="A180" i="62" s="1"/>
  <c r="A176" i="62" a="1"/>
  <c r="A176" i="62" s="1"/>
  <c r="A162" i="62" a="1"/>
  <c r="A162" i="62" s="1"/>
  <c r="A154" i="62" a="1"/>
  <c r="A154" i="62" s="1"/>
  <c r="A146" i="62" a="1"/>
  <c r="A146" i="62" s="1"/>
  <c r="A142" i="62" a="1"/>
  <c r="A142" i="62" s="1"/>
  <c r="A130" i="62" a="1"/>
  <c r="A130" i="62"/>
  <c r="A122" i="62" a="1"/>
  <c r="A122" i="62" s="1"/>
  <c r="A114" i="62" a="1"/>
  <c r="A114" i="62" s="1"/>
  <c r="A106" i="62" a="1"/>
  <c r="A106" i="62" s="1"/>
  <c r="A98" i="62" a="1"/>
  <c r="A98" i="62" s="1"/>
  <c r="A94" i="62" a="1"/>
  <c r="A94" i="62" s="1"/>
  <c r="A80" i="62" a="1"/>
  <c r="A80" i="62" s="1"/>
  <c r="A71" i="62" a="1"/>
  <c r="A71" i="62" s="1"/>
  <c r="D9" i="60" a="1"/>
  <c r="D9" i="60" s="1"/>
  <c r="D8" i="60" a="1"/>
  <c r="D8" i="60" s="1"/>
  <c r="D7" i="60" a="1"/>
  <c r="D7" i="60" s="1"/>
  <c r="D6" i="60" a="1"/>
  <c r="D6" i="60" s="1"/>
  <c r="D5" i="60" a="1"/>
  <c r="D5" i="60"/>
  <c r="D4" i="60" a="1"/>
  <c r="D4" i="60" s="1"/>
  <c r="A129" i="20"/>
  <c r="A121" i="20"/>
  <c r="A113" i="20"/>
  <c r="A105" i="20"/>
  <c r="A97" i="20"/>
  <c r="A89" i="20"/>
  <c r="A81" i="20"/>
  <c r="A73" i="20"/>
  <c r="A65" i="20"/>
  <c r="A57" i="20"/>
  <c r="A53" i="20"/>
  <c r="A143" i="19"/>
  <c r="Q139" i="19"/>
  <c r="Q138" i="19"/>
  <c r="Q137" i="19"/>
  <c r="Q136" i="19"/>
  <c r="Q135" i="19"/>
  <c r="A135" i="19" a="1"/>
  <c r="A135" i="19" s="1"/>
  <c r="A125" i="19" a="1"/>
  <c r="A125" i="19"/>
  <c r="A117" i="19"/>
  <c r="Q111" i="19"/>
  <c r="A109" i="19"/>
  <c r="Q102" i="19"/>
  <c r="A101" i="19"/>
  <c r="Q94" i="19"/>
  <c r="A93" i="19"/>
  <c r="Q86" i="19"/>
  <c r="A85" i="19"/>
  <c r="Q78" i="19"/>
  <c r="A77" i="19"/>
  <c r="Q69" i="19"/>
  <c r="A69" i="19"/>
  <c r="Q61" i="19"/>
  <c r="Q52" i="19"/>
  <c r="Q43" i="19"/>
  <c r="Q34" i="19"/>
  <c r="G5" i="19"/>
  <c r="G4" i="19"/>
  <c r="D7" i="18" a="1"/>
  <c r="D7" i="18" s="1"/>
  <c r="M6" i="17"/>
  <c r="C8" i="14"/>
  <c r="C7" i="14"/>
  <c r="H6" i="14"/>
  <c r="C6" i="14"/>
  <c r="H5" i="14"/>
  <c r="C5" i="14"/>
  <c r="H4" i="14"/>
  <c r="C4" i="14"/>
  <c r="H3" i="14"/>
  <c r="C3" i="14"/>
  <c r="H2" i="14"/>
  <c r="C2" i="14"/>
  <c r="D2" i="14" s="1"/>
  <c r="H75" i="34"/>
  <c r="H61" i="34" a="1"/>
  <c r="H61" i="34" s="1"/>
  <c r="H49" i="34"/>
  <c r="D29" i="34"/>
  <c r="D28" i="34"/>
  <c r="D27" i="34"/>
  <c r="C37" i="34" s="1" a="1"/>
  <c r="C37" i="34" s="1"/>
  <c r="D26" i="34"/>
  <c r="D25" i="34"/>
  <c r="D24" i="34"/>
  <c r="B19" i="34" a="1"/>
  <c r="B19" i="34" s="1"/>
  <c r="A13" i="16" a="1"/>
  <c r="A13" i="16"/>
  <c r="C7" i="12" a="1"/>
  <c r="C7" i="12" s="1"/>
  <c r="C6" i="12" a="1"/>
  <c r="C6" i="12" s="1"/>
  <c r="C5" i="12" a="1"/>
  <c r="C5" i="12"/>
  <c r="C4" i="12" a="1"/>
  <c r="C4" i="12" s="1"/>
  <c r="K3" i="12" a="1"/>
  <c r="K3" i="12"/>
  <c r="C3" i="12" a="1"/>
  <c r="C3" i="12" s="1"/>
  <c r="M2" i="12" a="1"/>
  <c r="M2" i="12"/>
  <c r="L2" i="12" a="1"/>
  <c r="L2" i="12" s="1"/>
  <c r="K2" i="12" a="1"/>
  <c r="K2" i="12" s="1"/>
  <c r="C2" i="12" a="1"/>
  <c r="C2" i="12" s="1"/>
  <c r="B4" i="10"/>
  <c r="B3" i="10"/>
  <c r="D3" i="9"/>
  <c r="C3" i="9"/>
  <c r="H21" i="8"/>
  <c r="B18" i="8"/>
  <c r="B17" i="8"/>
  <c r="B16" i="8"/>
  <c r="B15" i="8"/>
  <c r="B14" i="8"/>
  <c r="B13" i="8"/>
  <c r="B12" i="8"/>
  <c r="C11" i="8"/>
  <c r="B11" i="8"/>
  <c r="N3" i="8"/>
  <c r="O3" i="5"/>
  <c r="E3" i="5"/>
  <c r="D3" i="5"/>
  <c r="E21" i="2" a="1"/>
  <c r="E21" i="2"/>
  <c r="B8" i="2" a="1"/>
  <c r="B8" i="2"/>
  <c r="B4" i="2" a="1"/>
  <c r="B4" i="2"/>
  <c r="B2" i="2" a="1"/>
  <c r="B2" i="2"/>
  <c r="C1" i="1" a="1"/>
  <c r="C1" i="1"/>
  <c r="L4" i="3" a="1"/>
  <c r="L9" i="3" a="1"/>
  <c r="L3" i="3" a="1"/>
  <c r="L5" i="3" a="1"/>
  <c r="M3" i="3" a="1"/>
  <c r="L4" i="3" l="1"/>
  <c r="L9" i="3"/>
  <c r="L5" i="3"/>
  <c r="B3" i="38"/>
  <c r="C3" i="38"/>
  <c r="M3" i="3"/>
  <c r="L3" i="3"/>
  <c r="C33" i="34" a="1"/>
  <c r="C33" i="3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sharedStrings.xml><?xml version="1.0" encoding="utf-8"?>
<sst xmlns="http://schemas.openxmlformats.org/spreadsheetml/2006/main" count="2057" uniqueCount="1424">
  <si>
    <t>Example 1</t>
  </si>
  <si>
    <t>Example 2</t>
  </si>
  <si>
    <t>Example 3</t>
  </si>
  <si>
    <t>Employee Sales Report</t>
  </si>
  <si>
    <t>Name</t>
  </si>
  <si>
    <t xml:space="preserve">Zone </t>
  </si>
  <si>
    <t>Sales</t>
  </si>
  <si>
    <t>Akash</t>
  </si>
  <si>
    <t>Waranasi</t>
  </si>
  <si>
    <t>Manish</t>
  </si>
  <si>
    <t>Patna</t>
  </si>
  <si>
    <t>Sumit</t>
  </si>
  <si>
    <t>Sujay</t>
  </si>
  <si>
    <t>Kolkata</t>
  </si>
  <si>
    <t>Amit</t>
  </si>
  <si>
    <t>Raypur</t>
  </si>
  <si>
    <t>Nagpur</t>
  </si>
  <si>
    <t>Karan</t>
  </si>
  <si>
    <t>Mumbai</t>
  </si>
  <si>
    <t xml:space="preserve">Rajesh </t>
  </si>
  <si>
    <t>Pune</t>
  </si>
  <si>
    <t>Baglore</t>
  </si>
  <si>
    <t>Delhi</t>
  </si>
  <si>
    <t>Step 1</t>
  </si>
  <si>
    <t>Name manager use to select heading  Top Row And Column Active</t>
  </si>
  <si>
    <t>Step 2</t>
  </si>
  <si>
    <t>Data Validation In Name Cell</t>
  </si>
  <si>
    <t>Step 3  Indirect Formula Add Spaces</t>
  </si>
  <si>
    <t>Region</t>
  </si>
  <si>
    <t>Naya</t>
  </si>
  <si>
    <t>Emp_ID</t>
  </si>
  <si>
    <t>Employee Name</t>
  </si>
  <si>
    <t>Location</t>
  </si>
  <si>
    <t>Sales-2023</t>
  </si>
  <si>
    <t>Sales-2024</t>
  </si>
  <si>
    <t>Ishaan</t>
  </si>
  <si>
    <t>S0001</t>
  </si>
  <si>
    <t>Arun Gupta</t>
  </si>
  <si>
    <t>S0002</t>
  </si>
  <si>
    <t>rahul Panday</t>
  </si>
  <si>
    <t>S0003</t>
  </si>
  <si>
    <t>Manish Paul</t>
  </si>
  <si>
    <t>S0004</t>
  </si>
  <si>
    <t>Saikat Das</t>
  </si>
  <si>
    <t>S0005</t>
  </si>
  <si>
    <t>Anurag Gupta</t>
  </si>
  <si>
    <t>S0006</t>
  </si>
  <si>
    <t>Rohan Sharma</t>
  </si>
  <si>
    <t>S0007</t>
  </si>
  <si>
    <t>Pooja Sharma</t>
  </si>
  <si>
    <t>S0008</t>
  </si>
  <si>
    <t>Sumit Gupta</t>
  </si>
  <si>
    <t>S0009</t>
  </si>
  <si>
    <t>Raghav Sharma</t>
  </si>
  <si>
    <t>S0010</t>
  </si>
  <si>
    <t>Samir Nanda</t>
  </si>
  <si>
    <t>Nasikh</t>
  </si>
  <si>
    <t>S0011</t>
  </si>
  <si>
    <t>Bijay Sigh</t>
  </si>
  <si>
    <t>Yawtmal</t>
  </si>
  <si>
    <t>S0012</t>
  </si>
  <si>
    <t>Neeraj Panday</t>
  </si>
  <si>
    <t>Wardha</t>
  </si>
  <si>
    <t>S0013</t>
  </si>
  <si>
    <t>Priya Jain</t>
  </si>
  <si>
    <t>Gadchiroli</t>
  </si>
  <si>
    <t>S0014</t>
  </si>
  <si>
    <t>Nakul Verma</t>
  </si>
  <si>
    <t>Akola</t>
  </si>
  <si>
    <t>S0015</t>
  </si>
  <si>
    <t>Virat Joshi</t>
  </si>
  <si>
    <t>Thane</t>
  </si>
  <si>
    <t>S0016</t>
  </si>
  <si>
    <t>Aniket Tiwari</t>
  </si>
  <si>
    <t>Gondiya</t>
  </si>
  <si>
    <t>S0017</t>
  </si>
  <si>
    <t>Manish Sisodiya</t>
  </si>
  <si>
    <t>Solhapur</t>
  </si>
  <si>
    <t>S0018</t>
  </si>
  <si>
    <t>Arun Shelekar</t>
  </si>
  <si>
    <t>Kolhapur</t>
  </si>
  <si>
    <t>ID</t>
  </si>
  <si>
    <t>Group</t>
  </si>
  <si>
    <t>Score</t>
  </si>
  <si>
    <t>Kaushal</t>
  </si>
  <si>
    <t>Red</t>
  </si>
  <si>
    <t>Sunder</t>
  </si>
  <si>
    <t>Blue</t>
  </si>
  <si>
    <t>Lalit</t>
  </si>
  <si>
    <t>Green</t>
  </si>
  <si>
    <t>Sonu</t>
  </si>
  <si>
    <t>Prashant</t>
  </si>
  <si>
    <t>Suraj</t>
  </si>
  <si>
    <t>Montu</t>
  </si>
  <si>
    <t>Shivam</t>
  </si>
  <si>
    <t>Formula For True and False</t>
  </si>
  <si>
    <t>True/False Used In Excel</t>
  </si>
  <si>
    <t>Name 1</t>
  </si>
  <si>
    <t>Name 2</t>
  </si>
  <si>
    <t>True And False</t>
  </si>
  <si>
    <t>Sr.No.</t>
  </si>
  <si>
    <t>Computer Parts List</t>
  </si>
  <si>
    <t>List1</t>
  </si>
  <si>
    <t>List2</t>
  </si>
  <si>
    <t>True/False</t>
  </si>
  <si>
    <t>Ayaan</t>
  </si>
  <si>
    <t>Ayan</t>
  </si>
  <si>
    <t>Monitor</t>
  </si>
  <si>
    <t>Amaan</t>
  </si>
  <si>
    <t>Aman</t>
  </si>
  <si>
    <t>RAM</t>
  </si>
  <si>
    <t>Danish</t>
  </si>
  <si>
    <t>Danis</t>
  </si>
  <si>
    <t>CPU</t>
  </si>
  <si>
    <t>MOUSE</t>
  </si>
  <si>
    <t>KEYBOARD</t>
  </si>
  <si>
    <t>PRINTER</t>
  </si>
  <si>
    <t>SCANNER</t>
  </si>
  <si>
    <t>MOTHERBOARD</t>
  </si>
  <si>
    <t>Comparing Orerator Used As A "="</t>
  </si>
  <si>
    <t>OPERATING SYSTEM</t>
  </si>
  <si>
    <t>HDD</t>
  </si>
  <si>
    <t>SSD</t>
  </si>
  <si>
    <t>IS BLANK</t>
  </si>
  <si>
    <t>IS EMPTY</t>
  </si>
  <si>
    <t>IS ERROR</t>
  </si>
  <si>
    <t>IS EVEN</t>
  </si>
  <si>
    <t>IS LOGICAL</t>
  </si>
  <si>
    <t>IS NONTEXT</t>
  </si>
  <si>
    <t>IS NUMBER</t>
  </si>
  <si>
    <t>IS ODD</t>
  </si>
  <si>
    <t>IS TEXT</t>
  </si>
  <si>
    <t>IS NA</t>
  </si>
  <si>
    <t>Way to find out unique value in excel?</t>
  </si>
  <si>
    <t xml:space="preserve">Wild card </t>
  </si>
  <si>
    <t>1. Using Conditional Formatting</t>
  </si>
  <si>
    <t>Spring Word</t>
  </si>
  <si>
    <t>Criteria</t>
  </si>
  <si>
    <t>Countif</t>
  </si>
  <si>
    <t>2.Using Countif</t>
  </si>
  <si>
    <t>Bloom</t>
  </si>
  <si>
    <t>*</t>
  </si>
  <si>
    <t>This symbol contain text</t>
  </si>
  <si>
    <t>Only words counts</t>
  </si>
  <si>
    <t>3.Using Data Tab-Remove Duplicate</t>
  </si>
  <si>
    <t>Bunny</t>
  </si>
  <si>
    <t>&lt;&gt;*</t>
  </si>
  <si>
    <t>This symbol doesn,t contain text</t>
  </si>
  <si>
    <t>4.Using Advance Filter</t>
  </si>
  <si>
    <t>Chick</t>
  </si>
  <si>
    <t>Daffodill</t>
  </si>
  <si>
    <t>Eggs</t>
  </si>
  <si>
    <t>Flowers</t>
  </si>
  <si>
    <t>Example-1</t>
  </si>
  <si>
    <t>EMP.ID</t>
  </si>
  <si>
    <t>Occurance</t>
  </si>
  <si>
    <t>green</t>
  </si>
  <si>
    <t>AAA111</t>
  </si>
  <si>
    <t>melt</t>
  </si>
  <si>
    <t>BBB222</t>
  </si>
  <si>
    <t>CCC333</t>
  </si>
  <si>
    <t>tulip</t>
  </si>
  <si>
    <t>warming</t>
  </si>
  <si>
    <t>DDD444</t>
  </si>
  <si>
    <t>Count cell starts with "a" and Followed by 3 character</t>
  </si>
  <si>
    <t>DATA</t>
  </si>
  <si>
    <t>abcde</t>
  </si>
  <si>
    <t>xuop</t>
  </si>
  <si>
    <t>FY</t>
  </si>
  <si>
    <t>Product</t>
  </si>
  <si>
    <t>Total Count</t>
  </si>
  <si>
    <t>Count repeating years</t>
  </si>
  <si>
    <t>11ams3</t>
  </si>
  <si>
    <t>Count cell consist of 3 character &amp; include "a" in middle</t>
  </si>
  <si>
    <t>2017-18</t>
  </si>
  <si>
    <t>OLED TV</t>
  </si>
  <si>
    <t>78-as</t>
  </si>
  <si>
    <t>Smart TV</t>
  </si>
  <si>
    <t>2018-19</t>
  </si>
  <si>
    <t>axyz9a</t>
  </si>
  <si>
    <t>1a1</t>
  </si>
  <si>
    <t>Count that cell contains exactly 3 character</t>
  </si>
  <si>
    <t>2019-20</t>
  </si>
  <si>
    <t>Color TV</t>
  </si>
  <si>
    <t>2020-21</t>
  </si>
  <si>
    <t>Count that cell contains 4 or more character</t>
  </si>
  <si>
    <t>Count cell starts &amp; end with "A"</t>
  </si>
  <si>
    <t>Substitute</t>
  </si>
  <si>
    <t>Old Text</t>
  </si>
  <si>
    <t>Result</t>
  </si>
  <si>
    <t>Microsoft Office</t>
  </si>
  <si>
    <t>Excel</t>
  </si>
  <si>
    <t>Word</t>
  </si>
  <si>
    <t>Powerpoint</t>
  </si>
  <si>
    <t>Access</t>
  </si>
  <si>
    <t>Publisher</t>
  </si>
  <si>
    <t>Planner</t>
  </si>
  <si>
    <t>Tasks</t>
  </si>
  <si>
    <t>Team</t>
  </si>
  <si>
    <t>Security</t>
  </si>
  <si>
    <t>Sharepoint</t>
  </si>
  <si>
    <t>Stream</t>
  </si>
  <si>
    <t>Sway</t>
  </si>
  <si>
    <t>Whiteboard</t>
  </si>
  <si>
    <t>Yammer</t>
  </si>
  <si>
    <t>Ria</t>
  </si>
  <si>
    <t>this function in google sheet</t>
  </si>
  <si>
    <t>Sia</t>
  </si>
  <si>
    <t>Samay</t>
  </si>
  <si>
    <t>Rahul</t>
  </si>
  <si>
    <t>Vikas</t>
  </si>
  <si>
    <t>Jhanvi</t>
  </si>
  <si>
    <t>This Function In Google Sheet</t>
  </si>
  <si>
    <t>Replace Function</t>
  </si>
  <si>
    <t xml:space="preserve">Previouse Name </t>
  </si>
  <si>
    <t>New Name</t>
  </si>
  <si>
    <t>Jane Smith</t>
  </si>
  <si>
    <t>Kim Roland</t>
  </si>
  <si>
    <t>Steve Harvey</t>
  </si>
  <si>
    <t>Loise Rose</t>
  </si>
  <si>
    <t>Oliver David</t>
  </si>
  <si>
    <t>Charlotte Johnson</t>
  </si>
  <si>
    <t>Mary Williams</t>
  </si>
  <si>
    <t>Patricia Brown</t>
  </si>
  <si>
    <t>Robert Jones</t>
  </si>
  <si>
    <t>James Thomas</t>
  </si>
  <si>
    <t>Mitchell Jonson</t>
  </si>
  <si>
    <t>Tim Perry</t>
  </si>
  <si>
    <t>ISBLANK</t>
  </si>
  <si>
    <t>ISERROR</t>
  </si>
  <si>
    <t>ISTEXT</t>
  </si>
  <si>
    <t>ISNUMBER</t>
  </si>
  <si>
    <t>ISODD</t>
  </si>
  <si>
    <t>ISEVEN</t>
  </si>
  <si>
    <t>ISNA</t>
  </si>
  <si>
    <t>ISFormula</t>
  </si>
  <si>
    <t>ISERR</t>
  </si>
  <si>
    <t>Rating</t>
  </si>
  <si>
    <t>Title</t>
  </si>
  <si>
    <t>Order</t>
  </si>
  <si>
    <t>Size</t>
  </si>
  <si>
    <t>Color</t>
  </si>
  <si>
    <t>Formula</t>
  </si>
  <si>
    <t>Kiran</t>
  </si>
  <si>
    <t>Excellent</t>
  </si>
  <si>
    <t>S</t>
  </si>
  <si>
    <t>Good</t>
  </si>
  <si>
    <t>M</t>
  </si>
  <si>
    <t>Black</t>
  </si>
  <si>
    <t>Riya</t>
  </si>
  <si>
    <t>Poor</t>
  </si>
  <si>
    <t>L</t>
  </si>
  <si>
    <t>White</t>
  </si>
  <si>
    <t>Kaku</t>
  </si>
  <si>
    <t>Yellow</t>
  </si>
  <si>
    <t>Jani</t>
  </si>
  <si>
    <t>Orange</t>
  </si>
  <si>
    <t>Kimi</t>
  </si>
  <si>
    <t>Pink</t>
  </si>
  <si>
    <t>Use Of Get Pivot Data</t>
  </si>
  <si>
    <t>Drop Function</t>
  </si>
  <si>
    <t>Age</t>
  </si>
  <si>
    <t>Salary</t>
  </si>
  <si>
    <t>Deepak</t>
  </si>
  <si>
    <t>Last N Record</t>
  </si>
  <si>
    <t>Manoj</t>
  </si>
  <si>
    <t>Nidhi</t>
  </si>
  <si>
    <t>Kavita</t>
  </si>
  <si>
    <t>Satyam</t>
  </si>
  <si>
    <t>Nivan</t>
  </si>
  <si>
    <t>Aniket</t>
  </si>
  <si>
    <t>Purvi</t>
  </si>
  <si>
    <t>Nisha</t>
  </si>
  <si>
    <t>Roll No</t>
  </si>
  <si>
    <t>Mobile No.</t>
  </si>
  <si>
    <t>Shruti</t>
  </si>
  <si>
    <t>Kamal</t>
  </si>
  <si>
    <t>Jatin</t>
  </si>
  <si>
    <t>Karishma</t>
  </si>
  <si>
    <t>Priya</t>
  </si>
  <si>
    <t>Sujaan</t>
  </si>
  <si>
    <t>Harshita</t>
  </si>
  <si>
    <t>Kimmi</t>
  </si>
  <si>
    <t>OFFSET FUNCTION</t>
  </si>
  <si>
    <t>Item</t>
  </si>
  <si>
    <t>Color Name</t>
  </si>
  <si>
    <t>Qty</t>
  </si>
  <si>
    <t>Price</t>
  </si>
  <si>
    <t>Keyboard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</si>
  <si>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OFFSET formula</t>
    </r>
    <r>
      <rPr>
        <sz val="11"/>
        <color theme="1"/>
        <rFont val="Aptos Narrow"/>
        <charset val="134"/>
        <scheme val="minor"/>
      </rPr>
      <t xml:space="preserve"> in Excel is a </t>
    </r>
    <r>
      <rPr>
        <b/>
        <sz val="11"/>
        <color theme="1"/>
        <rFont val="Aptos Narrow"/>
        <charset val="134"/>
        <scheme val="minor"/>
      </rPr>
      <t>reference function</t>
    </r>
    <r>
      <rPr>
        <sz val="11"/>
        <color theme="1"/>
        <rFont val="Aptos Narrow"/>
        <charset val="134"/>
        <scheme val="minor"/>
      </rPr>
      <t xml:space="preserve"> that returns a cell or range of cells that is a specific number of rows and columns away from a starting cell or range.</t>
    </r>
  </si>
  <si>
    <t>Mouse</t>
  </si>
  <si>
    <r>
      <rPr>
        <sz val="11"/>
        <color theme="1"/>
        <rFont val="Aptos Narrow"/>
        <charset val="134"/>
        <scheme val="minor"/>
      </rPr>
      <t xml:space="preserve">It does </t>
    </r>
    <r>
      <rPr>
        <b/>
        <sz val="11"/>
        <color theme="1"/>
        <rFont val="Aptos Narrow"/>
        <charset val="134"/>
        <scheme val="minor"/>
      </rPr>
      <t>not</t>
    </r>
    <r>
      <rPr>
        <sz val="11"/>
        <color theme="1"/>
        <rFont val="Aptos Narrow"/>
        <charset val="134"/>
        <scheme val="minor"/>
      </rPr>
      <t xml:space="preserve"> move data—it just </t>
    </r>
    <r>
      <rPr>
        <b/>
        <sz val="11"/>
        <color theme="1"/>
        <rFont val="Aptos Narrow"/>
        <charset val="134"/>
        <scheme val="minor"/>
      </rPr>
      <t>refers</t>
    </r>
    <r>
      <rPr>
        <sz val="11"/>
        <color theme="1"/>
        <rFont val="Aptos Narrow"/>
        <charset val="134"/>
        <scheme val="minor"/>
      </rPr>
      <t xml:space="preserve"> to another location dynamically.</t>
    </r>
  </si>
  <si>
    <t>Mic</t>
  </si>
  <si>
    <t>Speaker</t>
  </si>
  <si>
    <t>Grey</t>
  </si>
  <si>
    <t>Charger</t>
  </si>
  <si>
    <t>Violet</t>
  </si>
  <si>
    <t>Laptop</t>
  </si>
  <si>
    <t>Brown</t>
  </si>
  <si>
    <t>1. Syntax</t>
  </si>
  <si>
    <t>Computer</t>
  </si>
  <si>
    <t>Navy Blue</t>
  </si>
  <si>
    <t>Router</t>
  </si>
  <si>
    <t>Amber</t>
  </si>
  <si>
    <t>=OFFSET(reference, rows, cols, [height], [width])</t>
  </si>
  <si>
    <t>Tripot</t>
  </si>
  <si>
    <t>Charcoal</t>
  </si>
  <si>
    <t>Cable</t>
  </si>
  <si>
    <t>Olive</t>
  </si>
  <si>
    <t>Arguments:</t>
  </si>
  <si>
    <t>Earphone</t>
  </si>
  <si>
    <t>Ruby</t>
  </si>
  <si>
    <t>Blutooth</t>
  </si>
  <si>
    <t>Ivory</t>
  </si>
  <si>
    <r>
      <rPr>
        <b/>
        <sz val="11"/>
        <color theme="1"/>
        <rFont val="Aptos Narrow"/>
        <charset val="134"/>
        <scheme val="minor"/>
      </rPr>
      <t>reference</t>
    </r>
    <r>
      <rPr>
        <sz val="11"/>
        <color theme="1"/>
        <rFont val="Aptos Narrow"/>
        <charset val="134"/>
        <scheme val="minor"/>
      </rPr>
      <t xml:space="preserve"> → The starting cell or range.</t>
    </r>
  </si>
  <si>
    <r>
      <rPr>
        <b/>
        <sz val="11"/>
        <color theme="1"/>
        <rFont val="Aptos Narrow"/>
        <charset val="134"/>
        <scheme val="minor"/>
      </rPr>
      <t>rows</t>
    </r>
    <r>
      <rPr>
        <sz val="11"/>
        <color theme="1"/>
        <rFont val="Aptos Narrow"/>
        <charset val="134"/>
        <scheme val="minor"/>
      </rPr>
      <t xml:space="preserve"> → Number of rows to move from the starting point (positive = down, negative = up).</t>
    </r>
  </si>
  <si>
    <r>
      <rPr>
        <b/>
        <sz val="11"/>
        <color theme="1"/>
        <rFont val="Aptos Narrow"/>
        <charset val="134"/>
        <scheme val="minor"/>
      </rPr>
      <t>cols</t>
    </r>
    <r>
      <rPr>
        <sz val="11"/>
        <color theme="1"/>
        <rFont val="Aptos Narrow"/>
        <charset val="134"/>
        <scheme val="minor"/>
      </rPr>
      <t xml:space="preserve"> → Number of columns to move from the starting point (positive = right, negative = left).</t>
    </r>
  </si>
  <si>
    <r>
      <rPr>
        <b/>
        <sz val="11"/>
        <color theme="1"/>
        <rFont val="Aptos Narrow"/>
        <charset val="134"/>
        <scheme val="minor"/>
      </rPr>
      <t>height</t>
    </r>
    <r>
      <rPr>
        <sz val="11"/>
        <color theme="1"/>
        <rFont val="Aptos Narrow"/>
        <charset val="134"/>
        <scheme val="minor"/>
      </rPr>
      <t xml:space="preserve"> </t>
    </r>
    <r>
      <rPr>
        <i/>
        <sz val="11"/>
        <color theme="1"/>
        <rFont val="Aptos Narrow"/>
        <charset val="134"/>
        <scheme val="minor"/>
      </rPr>
      <t>(optional)</t>
    </r>
    <r>
      <rPr>
        <sz val="11"/>
        <color theme="1"/>
        <rFont val="Aptos Narrow"/>
        <charset val="134"/>
        <scheme val="minor"/>
      </rPr>
      <t xml:space="preserve"> → Number of rows to return (default = height of reference).</t>
    </r>
  </si>
  <si>
    <t>Hindi</t>
  </si>
  <si>
    <t>English</t>
  </si>
  <si>
    <t>Total</t>
  </si>
  <si>
    <r>
      <rPr>
        <b/>
        <sz val="11"/>
        <color theme="1"/>
        <rFont val="Aptos Narrow"/>
        <charset val="134"/>
        <scheme val="minor"/>
      </rPr>
      <t>width</t>
    </r>
    <r>
      <rPr>
        <sz val="11"/>
        <color theme="1"/>
        <rFont val="Aptos Narrow"/>
        <charset val="134"/>
        <scheme val="minor"/>
      </rPr>
      <t xml:space="preserve"> </t>
    </r>
    <r>
      <rPr>
        <i/>
        <sz val="11"/>
        <color theme="1"/>
        <rFont val="Aptos Narrow"/>
        <charset val="134"/>
        <scheme val="minor"/>
      </rPr>
      <t>(optional)</t>
    </r>
    <r>
      <rPr>
        <sz val="11"/>
        <color theme="1"/>
        <rFont val="Aptos Narrow"/>
        <charset val="134"/>
        <scheme val="minor"/>
      </rPr>
      <t xml:space="preserve"> → Number of columns to return (default = width of reference).</t>
    </r>
  </si>
  <si>
    <t>Krishna</t>
  </si>
  <si>
    <t>Mahima</t>
  </si>
  <si>
    <t>Monu</t>
  </si>
  <si>
    <t>Raju</t>
  </si>
  <si>
    <t>2. Features of OFFSET</t>
  </si>
  <si>
    <t>Renu'</t>
  </si>
  <si>
    <t>Ritesh</t>
  </si>
  <si>
    <r>
      <rPr>
        <b/>
        <sz val="11"/>
        <color theme="1"/>
        <rFont val="Aptos Narrow"/>
        <charset val="134"/>
        <scheme val="minor"/>
      </rPr>
      <t>Dynamic referencing</t>
    </r>
    <r>
      <rPr>
        <sz val="11"/>
        <color theme="1"/>
        <rFont val="Aptos Narrow"/>
        <charset val="134"/>
        <scheme val="minor"/>
      </rPr>
      <t xml:space="preserve"> – reference can change based on input.</t>
    </r>
  </si>
  <si>
    <r>
      <rPr>
        <sz val="11"/>
        <color theme="1"/>
        <rFont val="Aptos Narrow"/>
        <charset val="134"/>
        <scheme val="minor"/>
      </rPr>
      <t xml:space="preserve">Can return a </t>
    </r>
    <r>
      <rPr>
        <b/>
        <sz val="11"/>
        <color theme="1"/>
        <rFont val="Aptos Narrow"/>
        <charset val="134"/>
        <scheme val="minor"/>
      </rPr>
      <t>single cell</t>
    </r>
    <r>
      <rPr>
        <sz val="11"/>
        <color theme="1"/>
        <rFont val="Aptos Narrow"/>
        <charset val="134"/>
        <scheme val="minor"/>
      </rPr>
      <t xml:space="preserve"> or </t>
    </r>
    <r>
      <rPr>
        <b/>
        <sz val="11"/>
        <color theme="1"/>
        <rFont val="Aptos Narrow"/>
        <charset val="134"/>
        <scheme val="minor"/>
      </rPr>
      <t>multiple cells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</si>
  <si>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Works with </t>
    </r>
    <r>
      <rPr>
        <b/>
        <sz val="11"/>
        <color theme="1"/>
        <rFont val="Aptos Narrow"/>
        <charset val="134"/>
        <scheme val="minor"/>
      </rPr>
      <t>positive and negative</t>
    </r>
    <r>
      <rPr>
        <sz val="11"/>
        <color theme="1"/>
        <rFont val="Aptos Narrow"/>
        <charset val="134"/>
        <scheme val="minor"/>
      </rPr>
      <t xml:space="preserve"> offsets.</t>
    </r>
  </si>
  <si>
    <r>
      <rPr>
        <sz val="11"/>
        <color theme="1"/>
        <rFont val="Aptos Narrow"/>
        <charset val="134"/>
        <scheme val="minor"/>
      </rPr>
      <t xml:space="preserve">Can be used with functions like </t>
    </r>
    <r>
      <rPr>
        <b/>
        <sz val="11"/>
        <color theme="1"/>
        <rFont val="Aptos Narrow"/>
        <charset val="134"/>
        <scheme val="minor"/>
      </rPr>
      <t>SUM, AVERAGE, COUNT</t>
    </r>
    <r>
      <rPr>
        <sz val="11"/>
        <color theme="1"/>
        <rFont val="Aptos Narrow"/>
        <charset val="134"/>
        <scheme val="minor"/>
      </rPr>
      <t xml:space="preserve"> for dynamic ranges.</t>
    </r>
  </si>
  <si>
    <r>
      <rPr>
        <sz val="11"/>
        <color theme="1"/>
        <rFont val="Aptos Narrow"/>
        <charset val="134"/>
        <scheme val="minor"/>
      </rPr>
      <t xml:space="preserve">Useful in </t>
    </r>
    <r>
      <rPr>
        <b/>
        <sz val="11"/>
        <color theme="1"/>
        <rFont val="Aptos Narrow"/>
        <charset val="134"/>
        <scheme val="minor"/>
      </rPr>
      <t>dashboards</t>
    </r>
    <r>
      <rPr>
        <sz val="11"/>
        <color theme="1"/>
        <rFont val="Aptos Narrow"/>
        <charset val="134"/>
        <scheme val="minor"/>
      </rPr>
      <t xml:space="preserve"> and </t>
    </r>
    <r>
      <rPr>
        <b/>
        <sz val="11"/>
        <color theme="1"/>
        <rFont val="Aptos Narrow"/>
        <charset val="134"/>
        <scheme val="minor"/>
      </rPr>
      <t>dynamic reports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</si>
  <si>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Can work with </t>
    </r>
    <r>
      <rPr>
        <b/>
        <sz val="11"/>
        <color theme="1"/>
        <rFont val="Aptos Narrow"/>
        <charset val="134"/>
        <scheme val="minor"/>
      </rPr>
      <t>named ranges</t>
    </r>
    <r>
      <rPr>
        <sz val="11"/>
        <color theme="1"/>
        <rFont val="Aptos Narrow"/>
        <charset val="134"/>
        <scheme val="minor"/>
      </rPr>
      <t xml:space="preserve"> for easy updates.</t>
    </r>
  </si>
  <si>
    <r>
      <rPr>
        <sz val="11"/>
        <color theme="1"/>
        <rFont val="Aptos Narrow"/>
        <charset val="134"/>
        <scheme val="minor"/>
      </rPr>
      <t xml:space="preserve">Supports both </t>
    </r>
    <r>
      <rPr>
        <b/>
        <sz val="11"/>
        <color theme="1"/>
        <rFont val="Aptos Narrow"/>
        <charset val="134"/>
        <scheme val="minor"/>
      </rPr>
      <t>vertical and horizontal movement</t>
    </r>
    <r>
      <rPr>
        <sz val="11"/>
        <color theme="1"/>
        <rFont val="Aptos Narrow"/>
        <charset val="134"/>
        <scheme val="minor"/>
      </rPr>
      <t xml:space="preserve"> from a starting cell.</t>
    </r>
  </si>
  <si>
    <t>3. Examples</t>
  </si>
  <si>
    <t>Example 1 – Simple Offset</t>
  </si>
  <si>
    <r>
      <rPr>
        <sz val="11"/>
        <color theme="1"/>
        <rFont val="Aptos Narrow"/>
        <charset val="134"/>
        <scheme val="minor"/>
      </rPr>
      <t xml:space="preserve">Starts at </t>
    </r>
    <r>
      <rPr>
        <b/>
        <sz val="11"/>
        <color theme="1"/>
        <rFont val="Aptos Narrow"/>
        <charset val="134"/>
        <scheme val="minor"/>
      </rPr>
      <t>A1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</si>
  <si>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Moves </t>
    </r>
    <r>
      <rPr>
        <b/>
        <sz val="11"/>
        <color theme="1"/>
        <rFont val="Aptos Narrow"/>
        <charset val="134"/>
        <scheme val="minor"/>
      </rPr>
      <t>2 rows down</t>
    </r>
    <r>
      <rPr>
        <sz val="11"/>
        <color theme="1"/>
        <rFont val="Aptos Narrow"/>
        <charset val="134"/>
        <scheme val="minor"/>
      </rPr>
      <t xml:space="preserve"> (to A3) and </t>
    </r>
    <r>
      <rPr>
        <b/>
        <sz val="11"/>
        <color theme="1"/>
        <rFont val="Aptos Narrow"/>
        <charset val="134"/>
        <scheme val="minor"/>
      </rPr>
      <t>3 columns right</t>
    </r>
    <r>
      <rPr>
        <sz val="11"/>
        <color theme="1"/>
        <rFont val="Aptos Narrow"/>
        <charset val="134"/>
        <scheme val="minor"/>
      </rPr>
      <t xml:space="preserve"> (to D3).</t>
    </r>
  </si>
  <si>
    <r>
      <rPr>
        <sz val="11"/>
        <color theme="1"/>
        <rFont val="Aptos Narrow"/>
        <charset val="134"/>
        <scheme val="minor"/>
      </rPr>
      <t xml:space="preserve">Returns the value in </t>
    </r>
    <r>
      <rPr>
        <b/>
        <sz val="11"/>
        <color theme="1"/>
        <rFont val="Aptos Narrow"/>
        <charset val="134"/>
        <scheme val="minor"/>
      </rPr>
      <t>D3</t>
    </r>
    <r>
      <rPr>
        <sz val="11"/>
        <color theme="1"/>
        <rFont val="Aptos Narrow"/>
        <charset val="134"/>
        <scheme val="minor"/>
      </rPr>
      <t>.</t>
    </r>
  </si>
  <si>
    <t>Example 2 – Returning a Range</t>
  </si>
  <si>
    <r>
      <rPr>
        <sz val="11"/>
        <color theme="1"/>
        <rFont val="Aptos Narrow"/>
        <charset val="134"/>
        <scheme val="minor"/>
      </rPr>
      <t xml:space="preserve">Moves to </t>
    </r>
    <r>
      <rPr>
        <b/>
        <sz val="11"/>
        <color theme="1"/>
        <rFont val="Aptos Narrow"/>
        <charset val="134"/>
        <scheme val="minor"/>
      </rPr>
      <t>B2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</si>
  <si>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Returns a </t>
    </r>
    <r>
      <rPr>
        <b/>
        <sz val="11"/>
        <color theme="1"/>
        <rFont val="Aptos Narrow"/>
        <charset val="134"/>
        <scheme val="minor"/>
      </rPr>
      <t>3-row × 2-column</t>
    </r>
    <r>
      <rPr>
        <sz val="11"/>
        <color theme="1"/>
        <rFont val="Aptos Narrow"/>
        <charset val="134"/>
        <scheme val="minor"/>
      </rPr>
      <t xml:space="preserve"> range starting from B2.</t>
    </r>
  </si>
  <si>
    <t>Example 3 – Dynamic SUM</t>
  </si>
  <si>
    <r>
      <rPr>
        <sz val="11"/>
        <color theme="1"/>
        <rFont val="Aptos Narrow"/>
        <charset val="134"/>
        <scheme val="minor"/>
      </rPr>
      <t xml:space="preserve">If you have sales data in </t>
    </r>
    <r>
      <rPr>
        <b/>
        <sz val="11"/>
        <color theme="1"/>
        <rFont val="Aptos Narrow"/>
        <charset val="134"/>
        <scheme val="minor"/>
      </rPr>
      <t>B2:B10</t>
    </r>
    <r>
      <rPr>
        <sz val="11"/>
        <color theme="1"/>
        <rFont val="Aptos Narrow"/>
        <charset val="134"/>
        <scheme val="minor"/>
      </rPr>
      <t xml:space="preserve"> and want to sum the last 5 entries:</t>
    </r>
  </si>
  <si>
    <r>
      <rPr>
        <sz val="11"/>
        <color theme="1"/>
        <rFont val="Aptos Narrow"/>
        <charset val="134"/>
        <scheme val="minor"/>
      </rPr>
      <t xml:space="preserve">Dynamically sums the </t>
    </r>
    <r>
      <rPr>
        <b/>
        <sz val="11"/>
        <color theme="1"/>
        <rFont val="Aptos Narrow"/>
        <charset val="134"/>
        <scheme val="minor"/>
      </rPr>
      <t>last 5 rows</t>
    </r>
    <r>
      <rPr>
        <sz val="11"/>
        <color theme="1"/>
        <rFont val="Aptos Narrow"/>
        <charset val="134"/>
        <scheme val="minor"/>
      </rPr>
      <t>.</t>
    </r>
  </si>
  <si>
    <t>Example 4 – Dynamic Chart Data</t>
  </si>
  <si>
    <r>
      <rPr>
        <sz val="11"/>
        <color theme="1"/>
        <rFont val="Aptos Narrow"/>
        <charset val="134"/>
        <scheme val="minor"/>
      </rPr>
      <t xml:space="preserve">OFFSET is often used in </t>
    </r>
    <r>
      <rPr>
        <b/>
        <sz val="11"/>
        <color theme="1"/>
        <rFont val="Aptos Narrow"/>
        <charset val="134"/>
        <scheme val="minor"/>
      </rPr>
      <t>dynamic named ranges</t>
    </r>
    <r>
      <rPr>
        <sz val="11"/>
        <color theme="1"/>
        <rFont val="Aptos Narrow"/>
        <charset val="134"/>
        <scheme val="minor"/>
      </rPr>
      <t xml:space="preserve"> for charts:</t>
    </r>
  </si>
  <si>
    <t>Adjusts chart data automatically when new rows are added.</t>
  </si>
  <si>
    <t>4. Uses of OFFSET</t>
  </si>
  <si>
    <r>
      <rPr>
        <b/>
        <sz val="11"/>
        <color theme="1"/>
        <rFont val="Aptos Narrow"/>
        <charset val="134"/>
        <scheme val="minor"/>
      </rPr>
      <t>Dynamic range creation</t>
    </r>
    <r>
      <rPr>
        <sz val="11"/>
        <color theme="1"/>
        <rFont val="Aptos Narrow"/>
        <charset val="134"/>
        <scheme val="minor"/>
      </rPr>
      <t xml:space="preserve"> for charts and reports.</t>
    </r>
  </si>
  <si>
    <r>
      <rPr>
        <b/>
        <sz val="11"/>
        <color theme="1"/>
        <rFont val="Aptos Narrow"/>
        <charset val="134"/>
        <scheme val="minor"/>
      </rPr>
      <t>Rolling averages</t>
    </r>
    <r>
      <rPr>
        <sz val="11"/>
        <color theme="1"/>
        <rFont val="Aptos Narrow"/>
        <charset val="134"/>
        <scheme val="minor"/>
      </rPr>
      <t xml:space="preserve"> (last N days/months).</t>
    </r>
  </si>
  <si>
    <r>
      <rPr>
        <b/>
        <sz val="11"/>
        <color theme="1"/>
        <rFont val="Aptos Narrow"/>
        <charset val="134"/>
        <scheme val="minor"/>
      </rPr>
      <t>Automatically adjusting reports</t>
    </r>
    <r>
      <rPr>
        <sz val="11"/>
        <color theme="1"/>
        <rFont val="Aptos Narrow"/>
        <charset val="134"/>
        <scheme val="minor"/>
      </rPr>
      <t xml:space="preserve"> when data size changes.</t>
    </r>
  </si>
  <si>
    <r>
      <rPr>
        <b/>
        <sz val="11"/>
        <color theme="1"/>
        <rFont val="Aptos Narrow"/>
        <charset val="134"/>
        <scheme val="minor"/>
      </rPr>
      <t>Flexible data extraction</t>
    </r>
    <r>
      <rPr>
        <sz val="11"/>
        <color theme="1"/>
        <rFont val="Aptos Narrow"/>
        <charset val="134"/>
        <scheme val="minor"/>
      </rPr>
      <t xml:space="preserve"> without changing formulas manually.</t>
    </r>
  </si>
  <si>
    <r>
      <rPr>
        <b/>
        <sz val="11"/>
        <color theme="1"/>
        <rFont val="Aptos Narrow"/>
        <charset val="134"/>
        <scheme val="minor"/>
      </rPr>
      <t>Combining with MATCH</t>
    </r>
    <r>
      <rPr>
        <sz val="11"/>
        <color theme="1"/>
        <rFont val="Aptos Narrow"/>
        <charset val="134"/>
        <scheme val="minor"/>
      </rPr>
      <t xml:space="preserve"> for lookups with flexible start points.</t>
    </r>
  </si>
  <si>
    <r>
      <rPr>
        <b/>
        <sz val="11"/>
        <color theme="1"/>
        <rFont val="Aptos Narrow"/>
        <charset val="134"/>
        <scheme val="minor"/>
      </rPr>
      <t>KPI dashboards</t>
    </r>
    <r>
      <rPr>
        <sz val="11"/>
        <color theme="1"/>
        <rFont val="Aptos Narrow"/>
        <charset val="134"/>
        <scheme val="minor"/>
      </rPr>
      <t xml:space="preserve"> with dynamic indicators.</t>
    </r>
  </si>
  <si>
    <r>
      <rPr>
        <sz val="11"/>
        <color theme="1"/>
        <rFont val="Aptos Narrow"/>
        <charset val="134"/>
        <scheme val="minor"/>
      </rPr>
      <t xml:space="preserve"> If you want, I can prepare an </t>
    </r>
    <r>
      <rPr>
        <b/>
        <sz val="11"/>
        <color theme="1"/>
        <rFont val="Aptos Narrow"/>
        <charset val="134"/>
        <scheme val="minor"/>
      </rPr>
      <t>Excel file with 10 practical OFFSET formula examples</t>
    </r>
    <r>
      <rPr>
        <sz val="11"/>
        <color theme="1"/>
        <rFont val="Aptos Narrow"/>
        <charset val="134"/>
        <scheme val="minor"/>
      </rPr>
      <t xml:space="preserve"> (including dashboards, dynamic charts, and auto-updating reports) so you can learn it hands-on.</t>
    </r>
  </si>
  <si>
    <t>Marks</t>
  </si>
  <si>
    <t>%</t>
  </si>
  <si>
    <t>INT Function</t>
  </si>
  <si>
    <t>Number</t>
  </si>
  <si>
    <t>INT Formula</t>
  </si>
  <si>
    <t>Suresh</t>
  </si>
  <si>
    <t>Ahamad</t>
  </si>
  <si>
    <t>Rakesh</t>
  </si>
  <si>
    <t>Mohanish</t>
  </si>
  <si>
    <t>Raman</t>
  </si>
  <si>
    <t>MOD Function In Excel</t>
  </si>
  <si>
    <t>Divide By</t>
  </si>
  <si>
    <t>Remainder</t>
  </si>
  <si>
    <t>UNIQUE Function In Excel</t>
  </si>
  <si>
    <t>Unique Name</t>
  </si>
  <si>
    <t>Karo</t>
  </si>
  <si>
    <t>Jittu</t>
  </si>
  <si>
    <t>Search Formula In Excel</t>
  </si>
  <si>
    <r>
      <rPr>
        <b/>
        <sz val="13.5"/>
        <color theme="1"/>
        <rFont val="Aptos Narrow"/>
        <charset val="134"/>
        <scheme val="minor"/>
      </rPr>
      <t xml:space="preserve">📘 What is the </t>
    </r>
    <r>
      <rPr>
        <b/>
        <sz val="10"/>
        <color theme="1"/>
        <rFont val="Arial Unicode MS"/>
        <charset val="134"/>
      </rPr>
      <t>SEARCH</t>
    </r>
    <r>
      <rPr>
        <b/>
        <sz val="13.5"/>
        <color theme="1"/>
        <rFont val="Aptos Narrow"/>
        <charset val="134"/>
        <scheme val="minor"/>
      </rPr>
      <t xml:space="preserve"> Function in Excel?</t>
    </r>
  </si>
  <si>
    <t>Find</t>
  </si>
  <si>
    <t>Within Test</t>
  </si>
  <si>
    <t>Start Num</t>
  </si>
  <si>
    <t>Note</t>
  </si>
  <si>
    <t>A</t>
  </si>
  <si>
    <t>Apple</t>
  </si>
  <si>
    <t>Start No Optional; default to 1</t>
  </si>
  <si>
    <r>
      <rPr>
        <sz val="11"/>
        <color theme="1"/>
        <rFont val="Aptos Narrow"/>
        <charset val="134"/>
        <scheme val="minor"/>
      </rPr>
      <t xml:space="preserve">The </t>
    </r>
    <r>
      <rPr>
        <sz val="10"/>
        <color theme="1"/>
        <rFont val="Arial Unicode MS"/>
        <charset val="134"/>
      </rPr>
      <t>SEARCH</t>
    </r>
    <r>
      <rPr>
        <sz val="11"/>
        <color theme="1"/>
        <rFont val="Aptos Narrow"/>
        <charset val="134"/>
        <scheme val="minor"/>
      </rPr>
      <t xml:space="preserve"> function in Excel is used to </t>
    </r>
    <r>
      <rPr>
        <b/>
        <sz val="11"/>
        <color theme="1"/>
        <rFont val="Aptos Narrow"/>
        <charset val="134"/>
        <scheme val="minor"/>
      </rPr>
      <t>find the position of a substring (text) within another text string</t>
    </r>
    <r>
      <rPr>
        <sz val="11"/>
        <color theme="1"/>
        <rFont val="Aptos Narrow"/>
        <charset val="134"/>
        <scheme val="minor"/>
      </rPr>
      <t xml:space="preserve">, </t>
    </r>
    <r>
      <rPr>
        <b/>
        <sz val="11"/>
        <color theme="1"/>
        <rFont val="Aptos Narrow"/>
        <charset val="134"/>
        <scheme val="minor"/>
      </rPr>
      <t>case-insensitive</t>
    </r>
    <r>
      <rPr>
        <sz val="11"/>
        <color theme="1"/>
        <rFont val="Aptos Narrow"/>
        <charset val="134"/>
        <scheme val="minor"/>
      </rPr>
      <t>.</t>
    </r>
  </si>
  <si>
    <t>P</t>
  </si>
  <si>
    <t>Result Based on First Occurrence</t>
  </si>
  <si>
    <t>the</t>
  </si>
  <si>
    <t>The cat in the hat</t>
  </si>
  <si>
    <t>Search is Not Case Sensitive</t>
  </si>
  <si>
    <t>00??</t>
  </si>
  <si>
    <t>01-A-0010</t>
  </si>
  <si>
    <t>Search Support Wildcard ? And *</t>
  </si>
  <si>
    <t xml:space="preserve"> Syntax:</t>
  </si>
  <si>
    <t>Control + Drag As it is copy data</t>
  </si>
  <si>
    <t>=SEARCH(find_text, within_text, [start_num])</t>
  </si>
  <si>
    <t>Argument</t>
  </si>
  <si>
    <t>Description</t>
  </si>
  <si>
    <t>find_text</t>
  </si>
  <si>
    <t>The substring you want to find</t>
  </si>
  <si>
    <t>within_text</t>
  </si>
  <si>
    <t>The full text string to search in</t>
  </si>
  <si>
    <r>
      <rPr>
        <sz val="10"/>
        <color theme="1"/>
        <rFont val="Arial Unicode MS"/>
        <charset val="134"/>
      </rPr>
      <t>[start_num]</t>
    </r>
    <r>
      <rPr>
        <sz val="11"/>
        <color theme="1"/>
        <rFont val="Aptos Narrow"/>
        <charset val="134"/>
        <scheme val="minor"/>
      </rPr>
      <t xml:space="preserve"> </t>
    </r>
    <r>
      <rPr>
        <i/>
        <sz val="11"/>
        <color theme="1"/>
        <rFont val="Aptos Narrow"/>
        <charset val="134"/>
        <scheme val="minor"/>
      </rPr>
      <t>(optional)</t>
    </r>
  </si>
  <si>
    <t>The position to start the search (default is 1)</t>
  </si>
  <si>
    <r>
      <rPr>
        <b/>
        <sz val="13.5"/>
        <color theme="1"/>
        <rFont val="Aptos Narrow"/>
        <charset val="134"/>
        <scheme val="minor"/>
      </rPr>
      <t xml:space="preserve">🎯 Key Features of </t>
    </r>
    <r>
      <rPr>
        <b/>
        <sz val="10"/>
        <color theme="1"/>
        <rFont val="Arial Unicode MS"/>
        <charset val="134"/>
      </rPr>
      <t>SEARCH</t>
    </r>
    <r>
      <rPr>
        <b/>
        <sz val="13.5"/>
        <color theme="1"/>
        <rFont val="Aptos Narrow"/>
        <charset val="134"/>
        <scheme val="minor"/>
      </rPr>
      <t xml:space="preserve"> Function:</t>
    </r>
  </si>
  <si>
    <t>Feature</t>
  </si>
  <si>
    <t>🔍 Finds text</t>
  </si>
  <si>
    <r>
      <rPr>
        <sz val="11"/>
        <color theme="1"/>
        <rFont val="Aptos Narrow"/>
        <charset val="134"/>
        <scheme val="minor"/>
      </rPr>
      <t xml:space="preserve">Locates the </t>
    </r>
    <r>
      <rPr>
        <b/>
        <sz val="11"/>
        <color theme="1"/>
        <rFont val="Aptos Narrow"/>
        <charset val="134"/>
        <scheme val="minor"/>
      </rPr>
      <t>starting position</t>
    </r>
    <r>
      <rPr>
        <sz val="11"/>
        <color theme="1"/>
        <rFont val="Aptos Narrow"/>
        <charset val="134"/>
        <scheme val="minor"/>
      </rPr>
      <t xml:space="preserve"> of a substring</t>
    </r>
  </si>
  <si>
    <t>🔠 Case-insensitive</t>
  </si>
  <si>
    <t>Ignores case (e.g., "a" = "A")</t>
  </si>
  <si>
    <t>📍 Start position</t>
  </si>
  <si>
    <r>
      <rPr>
        <sz val="11"/>
        <color theme="1"/>
        <rFont val="Aptos Narrow"/>
        <charset val="134"/>
        <scheme val="minor"/>
      </rPr>
      <t xml:space="preserve">Optional argument to </t>
    </r>
    <r>
      <rPr>
        <b/>
        <sz val="11"/>
        <color theme="1"/>
        <rFont val="Aptos Narrow"/>
        <charset val="134"/>
        <scheme val="minor"/>
      </rPr>
      <t>begin search from a specific character</t>
    </r>
  </si>
  <si>
    <t>❗ Error handling</t>
  </si>
  <si>
    <r>
      <rPr>
        <sz val="11"/>
        <color theme="1"/>
        <rFont val="Aptos Narrow"/>
        <charset val="134"/>
        <scheme val="minor"/>
      </rPr>
      <t xml:space="preserve">Returns </t>
    </r>
    <r>
      <rPr>
        <sz val="10"/>
        <color theme="1"/>
        <rFont val="Arial Unicode MS"/>
        <charset val="134"/>
      </rPr>
      <t>#VALUE!</t>
    </r>
    <r>
      <rPr>
        <sz val="11"/>
        <color theme="1"/>
        <rFont val="Aptos Narrow"/>
        <charset val="134"/>
        <scheme val="minor"/>
      </rPr>
      <t xml:space="preserve"> if text not found</t>
    </r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</si>
  <si>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SEARCH</t>
    </r>
    <r>
      <rPr>
        <sz val="11"/>
        <color theme="1"/>
        <rFont val="Aptos Narrow"/>
        <charset val="134"/>
        <scheme val="minor"/>
      </rPr>
      <t xml:space="preserve"> function in Excel is a </t>
    </r>
    <r>
      <rPr>
        <b/>
        <sz val="11"/>
        <color theme="1"/>
        <rFont val="Aptos Narrow"/>
        <charset val="134"/>
        <scheme val="minor"/>
      </rPr>
      <t>text function</t>
    </r>
    <r>
      <rPr>
        <sz val="11"/>
        <color theme="1"/>
        <rFont val="Aptos Narrow"/>
        <charset val="134"/>
        <scheme val="minor"/>
      </rPr>
      <t xml:space="preserve"> used to </t>
    </r>
    <r>
      <rPr>
        <b/>
        <sz val="11"/>
        <color theme="1"/>
        <rFont val="Aptos Narrow"/>
        <charset val="134"/>
        <scheme val="minor"/>
      </rPr>
      <t>find the position of a substring (text)</t>
    </r>
    <r>
      <rPr>
        <sz val="11"/>
        <color theme="1"/>
        <rFont val="Aptos Narrow"/>
        <charset val="134"/>
        <scheme val="minor"/>
      </rPr>
      <t xml:space="preserve"> within another text string. It's useful for </t>
    </r>
    <r>
      <rPr>
        <b/>
        <sz val="11"/>
        <color theme="1"/>
        <rFont val="Aptos Narrow"/>
        <charset val="134"/>
        <scheme val="minor"/>
      </rPr>
      <t>extracting text</t>
    </r>
    <r>
      <rPr>
        <sz val="11"/>
        <color theme="1"/>
        <rFont val="Aptos Narrow"/>
        <charset val="134"/>
        <scheme val="minor"/>
      </rPr>
      <t xml:space="preserve">, </t>
    </r>
    <r>
      <rPr>
        <b/>
        <sz val="11"/>
        <color theme="1"/>
        <rFont val="Aptos Narrow"/>
        <charset val="134"/>
        <scheme val="minor"/>
      </rPr>
      <t>checking if a word exists</t>
    </r>
    <r>
      <rPr>
        <sz val="11"/>
        <color theme="1"/>
        <rFont val="Aptos Narrow"/>
        <charset val="134"/>
        <scheme val="minor"/>
      </rPr>
      <t xml:space="preserve">, or building </t>
    </r>
    <r>
      <rPr>
        <b/>
        <sz val="11"/>
        <color theme="1"/>
        <rFont val="Aptos Narrow"/>
        <charset val="134"/>
        <scheme val="minor"/>
      </rPr>
      <t>complex text formulas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</si>
  <si>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🔄 Use with </t>
    </r>
    <r>
      <rPr>
        <sz val="10"/>
        <color theme="1"/>
        <rFont val="Arial Unicode MS"/>
        <charset val="134"/>
      </rPr>
      <t>MID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LEFT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RIGHT</t>
    </r>
  </si>
  <si>
    <t>Often combined to extract dynamic text</t>
  </si>
  <si>
    <t>🧼 Useful in data cleaning</t>
  </si>
  <si>
    <t>Extract part of text, especially variable formats</t>
  </si>
  <si>
    <t>📌 Definition:</t>
  </si>
  <si>
    <t>🧪 Examples and Use Cases:</t>
  </si>
  <si>
    <r>
      <rPr>
        <sz val="11"/>
        <color theme="1"/>
        <rFont val="Aptos Narrow"/>
        <charset val="134"/>
        <scheme val="minor"/>
      </rPr>
      <t xml:space="preserve">The </t>
    </r>
    <r>
      <rPr>
        <sz val="10"/>
        <color theme="1"/>
        <rFont val="Arial Unicode MS"/>
        <charset val="134"/>
      </rPr>
      <t>SEARCH</t>
    </r>
    <r>
      <rPr>
        <sz val="11"/>
        <color theme="1"/>
        <rFont val="Aptos Narrow"/>
        <charset val="134"/>
        <scheme val="minor"/>
      </rPr>
      <t xml:space="preserve"> function returns the </t>
    </r>
    <r>
      <rPr>
        <b/>
        <sz val="11"/>
        <color theme="1"/>
        <rFont val="Aptos Narrow"/>
        <charset val="134"/>
        <scheme val="minor"/>
      </rPr>
      <t>position number</t>
    </r>
    <r>
      <rPr>
        <sz val="11"/>
        <color theme="1"/>
        <rFont val="Aptos Narrow"/>
        <charset val="134"/>
        <scheme val="minor"/>
      </rPr>
      <t xml:space="preserve"> where a specific </t>
    </r>
    <r>
      <rPr>
        <b/>
        <sz val="11"/>
        <color theme="1"/>
        <rFont val="Aptos Narrow"/>
        <charset val="134"/>
        <scheme val="minor"/>
      </rPr>
      <t>character or substring first appears</t>
    </r>
    <r>
      <rPr>
        <sz val="11"/>
        <color theme="1"/>
        <rFont val="Aptos Narrow"/>
        <charset val="134"/>
        <scheme val="minor"/>
      </rPr>
      <t xml:space="preserve"> in a text string.</t>
    </r>
  </si>
  <si>
    <t>✅ Example 1: Basic Search</t>
  </si>
  <si>
    <t>🔹 Syntax:</t>
  </si>
  <si>
    <t>SEARCH(find_text, within_text, [start_num])</t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</si>
  <si>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1</t>
    </r>
  </si>
  <si>
    <r>
      <rPr>
        <sz val="11"/>
        <color theme="1"/>
        <rFont val="Aptos Narrow"/>
        <charset val="134"/>
        <scheme val="minor"/>
      </rPr>
      <t xml:space="preserve">🧠 </t>
    </r>
    <r>
      <rPr>
        <sz val="10"/>
        <color theme="1"/>
        <rFont val="Arial Unicode MS"/>
        <charset val="134"/>
      </rPr>
      <t>"e"</t>
    </r>
    <r>
      <rPr>
        <sz val="11"/>
        <color theme="1"/>
        <rFont val="Aptos Narrow"/>
        <charset val="134"/>
        <scheme val="minor"/>
      </rPr>
      <t xml:space="preserve"> is the </t>
    </r>
    <r>
      <rPr>
        <b/>
        <sz val="11"/>
        <color theme="1"/>
        <rFont val="Aptos Narrow"/>
        <charset val="134"/>
        <scheme val="minor"/>
      </rPr>
      <t>1st character</t>
    </r>
    <r>
      <rPr>
        <sz val="11"/>
        <color theme="1"/>
        <rFont val="Aptos Narrow"/>
        <charset val="134"/>
        <scheme val="minor"/>
      </rPr>
      <t xml:space="preserve"> in "Excel"</t>
    </r>
  </si>
  <si>
    <t>🔸 Arguments:</t>
  </si>
  <si>
    <t>The text you want to find (case-insensitive).</t>
  </si>
  <si>
    <t>✅ Example 2: Search for Multiple Characters</t>
  </si>
  <si>
    <t>The text string to search within.</t>
  </si>
  <si>
    <t>The position to start the search (default is 1).</t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</si>
  <si>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11</t>
    </r>
  </si>
  <si>
    <t>⭐ Key Features of SEARCH Function:</t>
  </si>
  <si>
    <r>
      <rPr>
        <sz val="11"/>
        <color theme="1"/>
        <rFont val="Aptos Narrow"/>
        <charset val="134"/>
        <scheme val="minor"/>
      </rPr>
      <t xml:space="preserve">🧠 </t>
    </r>
    <r>
      <rPr>
        <sz val="10"/>
        <color theme="1"/>
        <rFont val="Arial Unicode MS"/>
        <charset val="134"/>
      </rPr>
      <t>"cel"</t>
    </r>
    <r>
      <rPr>
        <sz val="11"/>
        <color theme="1"/>
        <rFont val="Aptos Narrow"/>
        <charset val="134"/>
        <scheme val="minor"/>
      </rPr>
      <t xml:space="preserve"> starts at the </t>
    </r>
    <r>
      <rPr>
        <b/>
        <sz val="11"/>
        <color theme="1"/>
        <rFont val="Aptos Narrow"/>
        <charset val="134"/>
        <scheme val="minor"/>
      </rPr>
      <t>11th character</t>
    </r>
  </si>
  <si>
    <t>✅ Case-insensitive</t>
  </si>
  <si>
    <r>
      <rPr>
        <sz val="11"/>
        <color theme="1"/>
        <rFont val="Aptos Narrow"/>
        <charset val="134"/>
        <scheme val="minor"/>
      </rPr>
      <t xml:space="preserve">Unlike FIND, SEARCH does </t>
    </r>
    <r>
      <rPr>
        <b/>
        <sz val="11"/>
        <color theme="1"/>
        <rFont val="Aptos Narrow"/>
        <charset val="134"/>
        <scheme val="minor"/>
      </rPr>
      <t>not</t>
    </r>
    <r>
      <rPr>
        <sz val="11"/>
        <color theme="1"/>
        <rFont val="Aptos Narrow"/>
        <charset val="134"/>
        <scheme val="minor"/>
      </rPr>
      <t xml:space="preserve"> consider letter case.</t>
    </r>
  </si>
  <si>
    <t>✅ Finds position of substring</t>
  </si>
  <si>
    <r>
      <rPr>
        <sz val="11"/>
        <color theme="1"/>
        <rFont val="Aptos Narrow"/>
        <charset val="134"/>
        <scheme val="minor"/>
      </rPr>
      <t xml:space="preserve">Returns the starting </t>
    </r>
    <r>
      <rPr>
        <b/>
        <sz val="11"/>
        <color theme="1"/>
        <rFont val="Aptos Narrow"/>
        <charset val="134"/>
        <scheme val="minor"/>
      </rPr>
      <t>character number</t>
    </r>
    <r>
      <rPr>
        <sz val="11"/>
        <color theme="1"/>
        <rFont val="Aptos Narrow"/>
        <charset val="134"/>
        <scheme val="minor"/>
      </rPr>
      <t xml:space="preserve"> of the match.</t>
    </r>
  </si>
  <si>
    <t>✅ Example 3: Start Search at a Specific Position</t>
  </si>
  <si>
    <t>✅ Supports wildcards</t>
  </si>
  <si>
    <r>
      <rPr>
        <sz val="11"/>
        <color theme="1"/>
        <rFont val="Aptos Narrow"/>
        <charset val="134"/>
        <scheme val="minor"/>
      </rPr>
      <t xml:space="preserve">Use </t>
    </r>
    <r>
      <rPr>
        <sz val="10"/>
        <color theme="1"/>
        <rFont val="Arial Unicode MS"/>
        <charset val="134"/>
      </rPr>
      <t>?</t>
    </r>
    <r>
      <rPr>
        <sz val="11"/>
        <color theme="1"/>
        <rFont val="Aptos Narrow"/>
        <charset val="134"/>
        <scheme val="minor"/>
      </rPr>
      <t xml:space="preserve"> for one character and </t>
    </r>
    <r>
      <rPr>
        <sz val="10"/>
        <color theme="1"/>
        <rFont val="Arial Unicode MS"/>
        <charset val="134"/>
      </rPr>
      <t>*</t>
    </r>
    <r>
      <rPr>
        <sz val="11"/>
        <color theme="1"/>
        <rFont val="Aptos Narrow"/>
        <charset val="134"/>
        <scheme val="minor"/>
      </rPr>
      <t xml:space="preserve"> for multiple characters.</t>
    </r>
  </si>
  <si>
    <t>✅ Optional start position</t>
  </si>
  <si>
    <t>Start the search from a specific character index.</t>
  </si>
  <si>
    <t>✅ Used in advanced text formulas</t>
  </si>
  <si>
    <r>
      <rPr>
        <sz val="11"/>
        <color theme="1"/>
        <rFont val="Aptos Narrow"/>
        <charset val="134"/>
        <scheme val="minor"/>
      </rPr>
      <t xml:space="preserve">Often combined with </t>
    </r>
    <r>
      <rPr>
        <sz val="10"/>
        <color theme="1"/>
        <rFont val="Arial Unicode MS"/>
        <charset val="134"/>
      </rPr>
      <t>MID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LEFT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RIGHT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LEN</t>
    </r>
    <r>
      <rPr>
        <sz val="11"/>
        <color theme="1"/>
        <rFont val="Aptos Narrow"/>
        <charset val="134"/>
        <scheme val="minor"/>
      </rPr>
      <t>, etc.</t>
    </r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</si>
  <si>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16</t>
    </r>
  </si>
  <si>
    <r>
      <rPr>
        <sz val="11"/>
        <color theme="1"/>
        <rFont val="Aptos Narrow"/>
        <charset val="134"/>
        <scheme val="minor"/>
      </rPr>
      <t xml:space="preserve">🧠 It skips first 4 characters and finds next </t>
    </r>
    <r>
      <rPr>
        <sz val="10"/>
        <color theme="1"/>
        <rFont val="Arial Unicode MS"/>
        <charset val="134"/>
      </rPr>
      <t>"e"</t>
    </r>
    <r>
      <rPr>
        <sz val="11"/>
        <color theme="1"/>
        <rFont val="Aptos Narrow"/>
        <charset val="134"/>
        <scheme val="minor"/>
      </rPr>
      <t xml:space="preserve"> at position 16</t>
    </r>
  </si>
  <si>
    <t>🧠 Important Difference: SEARCH vs FIND</t>
  </si>
  <si>
    <t>SEARCH</t>
  </si>
  <si>
    <t>FIND</t>
  </si>
  <si>
    <t>Case sensitive</t>
  </si>
  <si>
    <t>❌ No</t>
  </si>
  <si>
    <t>✅ Yes</t>
  </si>
  <si>
    <t>✅ Example 4: With IF Function</t>
  </si>
  <si>
    <t>Wildcard support</t>
  </si>
  <si>
    <r>
      <rPr>
        <sz val="11"/>
        <color theme="1"/>
        <rFont val="Aptos Narrow"/>
        <charset val="134"/>
        <scheme val="minor"/>
      </rPr>
      <t>✅ Yes (</t>
    </r>
    <r>
      <rPr>
        <sz val="10"/>
        <color theme="1"/>
        <rFont val="Arial Unicode MS"/>
        <charset val="134"/>
      </rPr>
      <t>?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*</t>
    </r>
    <r>
      <rPr>
        <sz val="11"/>
        <color theme="1"/>
        <rFont val="Aptos Narrow"/>
        <charset val="134"/>
        <scheme val="minor"/>
      </rPr>
      <t>)</t>
    </r>
  </si>
  <si>
    <t>📚 Examples &amp; Use Cases of SEARCH</t>
  </si>
  <si>
    <r>
      <rPr>
        <sz val="11"/>
        <color theme="1"/>
        <rFont val="Aptos Narrow"/>
        <charset val="134"/>
        <scheme val="minor"/>
      </rPr>
      <t xml:space="preserve">🧠 If cell A1 has text like "Professional", it returns </t>
    </r>
    <r>
      <rPr>
        <sz val="10"/>
        <color theme="1"/>
        <rFont val="Arial Unicode MS"/>
        <charset val="134"/>
      </rPr>
      <t>"Contains Pro"</t>
    </r>
  </si>
  <si>
    <t>Example 1: Find Position of a Word</t>
  </si>
  <si>
    <t>✅ Example 5: Extracting Domain from Email</t>
  </si>
  <si>
    <r>
      <rPr>
        <sz val="11"/>
        <color theme="1"/>
        <rFont val="Aptos Narrow"/>
        <charset val="134"/>
        <scheme val="minor"/>
      </rPr>
      <t xml:space="preserve">✅ Returns </t>
    </r>
    <r>
      <rPr>
        <sz val="10"/>
        <color theme="1"/>
        <rFont val="Arial Unicode MS"/>
        <charset val="134"/>
      </rPr>
      <t>4</t>
    </r>
    <r>
      <rPr>
        <sz val="11"/>
        <color theme="1"/>
        <rFont val="Aptos Narrow"/>
        <charset val="134"/>
        <scheme val="minor"/>
      </rPr>
      <t xml:space="preserve"> (because "day" starts at 4 in "Monday")</t>
    </r>
  </si>
  <si>
    <r>
      <rPr>
        <sz val="11"/>
        <color theme="1"/>
        <rFont val="Aptos Narrow"/>
        <charset val="134"/>
        <scheme val="minor"/>
      </rPr>
      <t xml:space="preserve">🔹 If A1 = </t>
    </r>
    <r>
      <rPr>
        <sz val="10"/>
        <color theme="1"/>
        <rFont val="Arial Unicode MS"/>
        <charset val="134"/>
      </rPr>
      <t>"john@example.com"</t>
    </r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</si>
  <si>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"example.com"</t>
    </r>
  </si>
  <si>
    <t xml:space="preserve"> Example 2: Search Is Case-Insensitive</t>
  </si>
  <si>
    <t>✅ Example 6: Find First Space in Text</t>
  </si>
  <si>
    <r>
      <rPr>
        <sz val="11"/>
        <color theme="1"/>
        <rFont val="Aptos Narrow"/>
        <charset val="134"/>
        <scheme val="minor"/>
      </rPr>
      <t xml:space="preserve">✅ Returns </t>
    </r>
    <r>
      <rPr>
        <sz val="10"/>
        <color theme="1"/>
        <rFont val="Arial Unicode MS"/>
        <charset val="134"/>
      </rPr>
      <t>2</t>
    </r>
    <r>
      <rPr>
        <sz val="11"/>
        <color theme="1"/>
        <rFont val="Aptos Narrow"/>
        <charset val="134"/>
        <scheme val="minor"/>
      </rPr>
      <t xml:space="preserve"> (first "a" found at 2, even though we searched "A")</t>
    </r>
  </si>
  <si>
    <r>
      <rPr>
        <sz val="11"/>
        <color theme="1"/>
        <rFont val="Aptos Narrow"/>
        <charset val="134"/>
        <scheme val="minor"/>
      </rPr>
      <t xml:space="preserve">🔹 If A1 = </t>
    </r>
    <r>
      <rPr>
        <sz val="10"/>
        <color theme="1"/>
        <rFont val="Arial Unicode MS"/>
        <charset val="134"/>
      </rPr>
      <t>"Data Analyst"</t>
    </r>
    <r>
      <rPr>
        <sz val="11"/>
        <color theme="1"/>
        <rFont val="Aptos Narrow"/>
        <charset val="134"/>
        <scheme val="minor"/>
      </rPr>
      <t xml:space="preserve"> → Output: </t>
    </r>
    <r>
      <rPr>
        <sz val="10"/>
        <color theme="1"/>
        <rFont val="Arial Unicode MS"/>
        <charset val="134"/>
      </rPr>
      <t>5</t>
    </r>
    <r>
      <rPr>
        <sz val="11"/>
        <color theme="1"/>
        <rFont val="Aptos Narrow"/>
        <charset val="134"/>
        <scheme val="minor"/>
      </rPr>
      <t xml:space="preserve"> (position of space)</t>
    </r>
  </si>
  <si>
    <t>Example 3: Use with Start Position</t>
  </si>
  <si>
    <r>
      <rPr>
        <b/>
        <sz val="12"/>
        <color theme="1"/>
        <rFont val="Aptos Narrow"/>
        <charset val="134"/>
        <scheme val="minor"/>
      </rPr>
      <t xml:space="preserve">✅ Example 7: Use with </t>
    </r>
    <r>
      <rPr>
        <b/>
        <sz val="10"/>
        <color theme="1"/>
        <rFont val="Arial Unicode MS"/>
        <charset val="134"/>
      </rPr>
      <t>LEFT</t>
    </r>
    <r>
      <rPr>
        <b/>
        <sz val="12"/>
        <color theme="1"/>
        <rFont val="Aptos Narrow"/>
        <charset val="134"/>
        <scheme val="minor"/>
      </rPr>
      <t xml:space="preserve"> to Extract First Name</t>
    </r>
  </si>
  <si>
    <r>
      <rPr>
        <sz val="11"/>
        <color theme="1"/>
        <rFont val="Aptos Narrow"/>
        <charset val="134"/>
        <scheme val="minor"/>
      </rPr>
      <t xml:space="preserve">✅ Returns </t>
    </r>
    <r>
      <rPr>
        <sz val="10"/>
        <color theme="1"/>
        <rFont val="Arial Unicode MS"/>
        <charset val="134"/>
      </rPr>
      <t>4</t>
    </r>
    <r>
      <rPr>
        <sz val="11"/>
        <color theme="1"/>
        <rFont val="Aptos Narrow"/>
        <charset val="134"/>
        <scheme val="minor"/>
      </rPr>
      <t xml:space="preserve"> (starts searching after 3rd character)</t>
    </r>
  </si>
  <si>
    <r>
      <rPr>
        <sz val="11"/>
        <color theme="1"/>
        <rFont val="Aptos Narrow"/>
        <charset val="134"/>
        <scheme val="minor"/>
      </rPr>
      <t xml:space="preserve">🔹 If A1 = </t>
    </r>
    <r>
      <rPr>
        <sz val="10"/>
        <color theme="1"/>
        <rFont val="Arial Unicode MS"/>
        <charset val="134"/>
      </rPr>
      <t>"John Smith"</t>
    </r>
    <r>
      <rPr>
        <sz val="11"/>
        <color theme="1"/>
        <rFont val="Aptos Narrow"/>
        <charset val="134"/>
        <scheme val="minor"/>
      </rPr>
      <t xml:space="preserve"> → Output: </t>
    </r>
    <r>
      <rPr>
        <sz val="10"/>
        <color theme="1"/>
        <rFont val="Arial Unicode MS"/>
        <charset val="134"/>
      </rPr>
      <t>"John"</t>
    </r>
  </si>
  <si>
    <t xml:space="preserve"> Example 4: Use with Wildcards</t>
  </si>
  <si>
    <r>
      <rPr>
        <b/>
        <sz val="12"/>
        <color theme="1"/>
        <rFont val="Aptos Narrow"/>
        <charset val="134"/>
        <scheme val="minor"/>
      </rPr>
      <t xml:space="preserve">✅ Example 8: Use with </t>
    </r>
    <r>
      <rPr>
        <b/>
        <sz val="10"/>
        <color theme="1"/>
        <rFont val="Arial Unicode MS"/>
        <charset val="134"/>
      </rPr>
      <t>RIGHT</t>
    </r>
    <r>
      <rPr>
        <b/>
        <sz val="12"/>
        <color theme="1"/>
        <rFont val="Aptos Narrow"/>
        <charset val="134"/>
        <scheme val="minor"/>
      </rPr>
      <t xml:space="preserve"> to Extract Last Name</t>
    </r>
  </si>
  <si>
    <r>
      <rPr>
        <sz val="11"/>
        <color theme="1"/>
        <rFont val="Aptos Narrow"/>
        <charset val="134"/>
        <scheme val="minor"/>
      </rPr>
      <t xml:space="preserve">✅ Returns </t>
    </r>
    <r>
      <rPr>
        <sz val="10"/>
        <color theme="1"/>
        <rFont val="Arial Unicode MS"/>
        <charset val="134"/>
      </rPr>
      <t>2</t>
    </r>
    <r>
      <rPr>
        <sz val="11"/>
        <color theme="1"/>
        <rFont val="Aptos Narrow"/>
        <charset val="134"/>
        <scheme val="minor"/>
      </rPr>
      <t xml:space="preserve"> because "a?a" matches "ana"</t>
    </r>
  </si>
  <si>
    <r>
      <rPr>
        <sz val="11"/>
        <color theme="1"/>
        <rFont val="Aptos Narrow"/>
        <charset val="134"/>
        <scheme val="minor"/>
      </rPr>
      <t xml:space="preserve">🔹 If A1 = </t>
    </r>
    <r>
      <rPr>
        <sz val="10"/>
        <color theme="1"/>
        <rFont val="Arial Unicode MS"/>
        <charset val="134"/>
      </rPr>
      <t>"John Smith"</t>
    </r>
    <r>
      <rPr>
        <sz val="11"/>
        <color theme="1"/>
        <rFont val="Aptos Narrow"/>
        <charset val="134"/>
        <scheme val="minor"/>
      </rPr>
      <t xml:space="preserve"> → Output: </t>
    </r>
    <r>
      <rPr>
        <sz val="10"/>
        <color theme="1"/>
        <rFont val="Arial Unicode MS"/>
        <charset val="134"/>
      </rPr>
      <t>"Smith"</t>
    </r>
  </si>
  <si>
    <t xml:space="preserve"> Example 5: Check If Text Exists in Cell</t>
  </si>
  <si>
    <t>✅ Example 9: Case-Insensitive Search</t>
  </si>
  <si>
    <t>✅ Returns "Found" if "apple" is in A1 (any case)</t>
  </si>
  <si>
    <t>🧠 Even though cases differ, it finds it.</t>
  </si>
  <si>
    <t xml:space="preserve"> Example 6: Extract First Name Before Space</t>
  </si>
  <si>
    <r>
      <rPr>
        <b/>
        <sz val="12"/>
        <color theme="1"/>
        <rFont val="Aptos Narrow"/>
        <charset val="134"/>
        <scheme val="minor"/>
      </rPr>
      <t xml:space="preserve">✅ Example 10: Error Handling with </t>
    </r>
    <r>
      <rPr>
        <b/>
        <sz val="10"/>
        <color theme="1"/>
        <rFont val="Arial Unicode MS"/>
        <charset val="134"/>
      </rPr>
      <t>IFERROR</t>
    </r>
  </si>
  <si>
    <t>If A2 = "John Doe", returns "John"</t>
  </si>
  <si>
    <t>🔹 Returns position or "Not Found"</t>
  </si>
  <si>
    <t>Example 7: Extract Domain Name from Email</t>
  </si>
  <si>
    <t>❗ Common Errors:</t>
  </si>
  <si>
    <t>If A2 = "user@gmail.com", returns "gmail.com"</t>
  </si>
  <si>
    <t>Error</t>
  </si>
  <si>
    <t>Reason</t>
  </si>
  <si>
    <r>
      <rPr>
        <sz val="10"/>
        <color theme="1"/>
        <rFont val="Arial Unicode MS"/>
        <charset val="134"/>
      </rPr>
      <t>find_text</t>
    </r>
    <r>
      <rPr>
        <sz val="11"/>
        <color theme="1"/>
        <rFont val="Aptos Narrow"/>
        <charset val="134"/>
        <scheme val="minor"/>
      </rPr>
      <t xml:space="preserve"> not found in </t>
    </r>
    <r>
      <rPr>
        <sz val="10"/>
        <color theme="1"/>
        <rFont val="Arial Unicode MS"/>
        <charset val="134"/>
      </rPr>
      <t>within_text</t>
    </r>
  </si>
  <si>
    <t>Negative numbers</t>
  </si>
  <si>
    <t>Not supported</t>
  </si>
  <si>
    <t>Case-sensitive?</t>
  </si>
  <si>
    <r>
      <rPr>
        <sz val="11"/>
        <color theme="1"/>
        <rFont val="Aptos Narrow"/>
        <charset val="134"/>
        <scheme val="minor"/>
      </rPr>
      <t xml:space="preserve">❌ No, use </t>
    </r>
    <r>
      <rPr>
        <sz val="10"/>
        <color theme="1"/>
        <rFont val="Arial Unicode MS"/>
        <charset val="134"/>
      </rPr>
      <t>FIND()</t>
    </r>
    <r>
      <rPr>
        <sz val="11"/>
        <color theme="1"/>
        <rFont val="Aptos Narrow"/>
        <charset val="134"/>
        <scheme val="minor"/>
      </rPr>
      <t xml:space="preserve"> instead if needed</t>
    </r>
  </si>
  <si>
    <t xml:space="preserve"> Example 8: Find Multiple Substrings</t>
  </si>
  <si>
    <r>
      <rPr>
        <b/>
        <sz val="13.5"/>
        <color theme="1"/>
        <rFont val="Aptos Narrow"/>
        <charset val="134"/>
        <scheme val="minor"/>
      </rPr>
      <t xml:space="preserve">🔄 Difference: </t>
    </r>
    <r>
      <rPr>
        <b/>
        <sz val="10"/>
        <color theme="1"/>
        <rFont val="Arial Unicode MS"/>
        <charset val="134"/>
      </rPr>
      <t>SEARCH</t>
    </r>
    <r>
      <rPr>
        <b/>
        <sz val="13.5"/>
        <color theme="1"/>
        <rFont val="Aptos Narrow"/>
        <charset val="134"/>
        <scheme val="minor"/>
      </rPr>
      <t xml:space="preserve"> vs </t>
    </r>
    <r>
      <rPr>
        <b/>
        <sz val="10"/>
        <color theme="1"/>
        <rFont val="Arial Unicode MS"/>
        <charset val="134"/>
      </rPr>
      <t>FIND</t>
    </r>
  </si>
  <si>
    <r>
      <rPr>
        <sz val="11"/>
        <color theme="1"/>
        <rFont val="Aptos Narrow"/>
        <charset val="134"/>
        <scheme val="minor"/>
      </rPr>
      <t xml:space="preserve">Finds position of the </t>
    </r>
    <r>
      <rPr>
        <b/>
        <sz val="11"/>
        <color theme="1"/>
        <rFont val="Aptos Narrow"/>
        <charset val="134"/>
        <scheme val="minor"/>
      </rPr>
      <t>first vowel</t>
    </r>
    <r>
      <rPr>
        <sz val="11"/>
        <color theme="1"/>
        <rFont val="Aptos Narrow"/>
        <charset val="134"/>
        <scheme val="minor"/>
      </rPr>
      <t xml:space="preserve"> in A1.</t>
    </r>
  </si>
  <si>
    <t>Function</t>
  </si>
  <si>
    <t>Case-sensitive</t>
  </si>
  <si>
    <t>Use</t>
  </si>
  <si>
    <t>General use</t>
  </si>
  <si>
    <t>When case matters</t>
  </si>
  <si>
    <t xml:space="preserve"> Example 9: Reverse Search (with helper)</t>
  </si>
  <si>
    <t>📊 Summary Table:</t>
  </si>
  <si>
    <t>SEARCH doesn't search backward, but you can use:</t>
  </si>
  <si>
    <t>Output</t>
  </si>
  <si>
    <t>Finds "x"</t>
  </si>
  <si>
    <t>Finds substring</t>
  </si>
  <si>
    <t>(to find the last space using a reversed string).</t>
  </si>
  <si>
    <t>Finds "@"</t>
  </si>
  <si>
    <t>Case-insensitive</t>
  </si>
  <si>
    <t>Handles errors</t>
  </si>
  <si>
    <t>Not Found</t>
  </si>
  <si>
    <t xml:space="preserve"> Example 10: With MID to Extract Dynamic Text</t>
  </si>
  <si>
    <t>If A1 = "Score: 95", returns " 95"</t>
  </si>
  <si>
    <t>✅ Summary of SEARCH Function Capabilities</t>
  </si>
  <si>
    <t>Availability</t>
  </si>
  <si>
    <t>Case-insensitive search</t>
  </si>
  <si>
    <t>Wildcard support (*, ?)</t>
  </si>
  <si>
    <t>Start at specific character</t>
  </si>
  <si>
    <t>Return character position</t>
  </si>
  <si>
    <t>Works with arrays &amp; nested formulas</t>
  </si>
  <si>
    <t>Useful in text extraction &amp; validation</t>
  </si>
  <si>
    <r>
      <rPr>
        <sz val="11"/>
        <color theme="1"/>
        <rFont val="Aptos Narrow"/>
        <charset val="134"/>
        <scheme val="minor"/>
      </rPr>
      <t xml:space="preserve">Would you like an </t>
    </r>
    <r>
      <rPr>
        <b/>
        <sz val="11"/>
        <color theme="1"/>
        <rFont val="Aptos Narrow"/>
        <charset val="134"/>
        <scheme val="minor"/>
      </rPr>
      <t>Excel practice sheet (.xlsx)</t>
    </r>
    <r>
      <rPr>
        <sz val="11"/>
        <color theme="1"/>
        <rFont val="Aptos Narrow"/>
        <charset val="134"/>
        <scheme val="minor"/>
      </rPr>
      <t xml:space="preserve"> with these 10 examples built-in for hands-on learning? I can generate that for you.</t>
    </r>
  </si>
  <si>
    <t>Find Function</t>
  </si>
  <si>
    <t>Returns the position (as a number) of one text string inside another</t>
  </si>
  <si>
    <t>Text</t>
  </si>
  <si>
    <t>Find Text</t>
  </si>
  <si>
    <t>Educate Point</t>
  </si>
  <si>
    <t>t</t>
  </si>
  <si>
    <t>It returns  the position number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</si>
  <si>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FIND</t>
    </r>
    <r>
      <rPr>
        <sz val="11"/>
        <color theme="1"/>
        <rFont val="Aptos Narrow"/>
        <charset val="134"/>
        <scheme val="minor"/>
      </rPr>
      <t xml:space="preserve"> function in Excel is a </t>
    </r>
    <r>
      <rPr>
        <b/>
        <sz val="11"/>
        <color theme="1"/>
        <rFont val="Aptos Narrow"/>
        <charset val="134"/>
        <scheme val="minor"/>
      </rPr>
      <t>text function</t>
    </r>
    <r>
      <rPr>
        <sz val="11"/>
        <color theme="1"/>
        <rFont val="Aptos Narrow"/>
        <charset val="134"/>
        <scheme val="minor"/>
      </rPr>
      <t xml:space="preserve"> used to </t>
    </r>
    <r>
      <rPr>
        <b/>
        <sz val="11"/>
        <color theme="1"/>
        <rFont val="Aptos Narrow"/>
        <charset val="134"/>
        <scheme val="minor"/>
      </rPr>
      <t>locate the position of one text string within another</t>
    </r>
    <r>
      <rPr>
        <sz val="11"/>
        <color theme="1"/>
        <rFont val="Aptos Narrow"/>
        <charset val="134"/>
        <scheme val="minor"/>
      </rPr>
      <t xml:space="preserve">. It is </t>
    </r>
    <r>
      <rPr>
        <b/>
        <sz val="11"/>
        <color theme="1"/>
        <rFont val="Aptos Narrow"/>
        <charset val="134"/>
        <scheme val="minor"/>
      </rPr>
      <t>case-sensitive</t>
    </r>
    <r>
      <rPr>
        <sz val="11"/>
        <color theme="1"/>
        <rFont val="Aptos Narrow"/>
        <charset val="134"/>
        <scheme val="minor"/>
      </rPr>
      <t xml:space="preserve">, and unlike </t>
    </r>
    <r>
      <rPr>
        <sz val="10"/>
        <color theme="1"/>
        <rFont val="Arial Unicode MS"/>
        <charset val="134"/>
      </rPr>
      <t>SEARCH</t>
    </r>
    <r>
      <rPr>
        <sz val="11"/>
        <color theme="1"/>
        <rFont val="Aptos Narrow"/>
        <charset val="134"/>
        <scheme val="minor"/>
      </rPr>
      <t xml:space="preserve">, it </t>
    </r>
    <r>
      <rPr>
        <b/>
        <sz val="11"/>
        <color theme="1"/>
        <rFont val="Aptos Narrow"/>
        <charset val="134"/>
        <scheme val="minor"/>
      </rPr>
      <t>does not support wildcards</t>
    </r>
    <r>
      <rPr>
        <sz val="11"/>
        <color theme="1"/>
        <rFont val="Aptos Narrow"/>
        <charset val="134"/>
        <scheme val="minor"/>
      </rPr>
      <t>.</t>
    </r>
  </si>
  <si>
    <t xml:space="preserve"> Definition:</t>
  </si>
  <si>
    <r>
      <rPr>
        <sz val="11"/>
        <color theme="1"/>
        <rFont val="Aptos Narrow"/>
        <charset val="134"/>
        <scheme val="minor"/>
      </rPr>
      <t xml:space="preserve">The </t>
    </r>
    <r>
      <rPr>
        <sz val="10"/>
        <color theme="1"/>
        <rFont val="Arial Unicode MS"/>
        <charset val="134"/>
      </rPr>
      <t>FIND</t>
    </r>
    <r>
      <rPr>
        <sz val="11"/>
        <color theme="1"/>
        <rFont val="Aptos Narrow"/>
        <charset val="134"/>
        <scheme val="minor"/>
      </rPr>
      <t xml:space="preserve"> function returns the </t>
    </r>
    <r>
      <rPr>
        <b/>
        <sz val="11"/>
        <color theme="1"/>
        <rFont val="Aptos Narrow"/>
        <charset val="134"/>
        <scheme val="minor"/>
      </rPr>
      <t>position (as a number)</t>
    </r>
    <r>
      <rPr>
        <sz val="11"/>
        <color theme="1"/>
        <rFont val="Aptos Narrow"/>
        <charset val="134"/>
        <scheme val="minor"/>
      </rPr>
      <t xml:space="preserve"> of the </t>
    </r>
    <r>
      <rPr>
        <b/>
        <sz val="11"/>
        <color theme="1"/>
        <rFont val="Aptos Narrow"/>
        <charset val="134"/>
        <scheme val="minor"/>
      </rPr>
      <t>first occurrence</t>
    </r>
    <r>
      <rPr>
        <sz val="11"/>
        <color theme="1"/>
        <rFont val="Aptos Narrow"/>
        <charset val="134"/>
        <scheme val="minor"/>
      </rPr>
      <t xml:space="preserve"> of a specified substring in another string.</t>
    </r>
  </si>
  <si>
    <r>
      <rPr>
        <sz val="11"/>
        <color theme="1"/>
        <rFont val="Aptos Narrow"/>
        <charset val="134"/>
        <scheme val="minor"/>
      </rPr>
      <t xml:space="preserve">It is useful for </t>
    </r>
    <r>
      <rPr>
        <b/>
        <sz val="11"/>
        <color theme="1"/>
        <rFont val="Aptos Narrow"/>
        <charset val="134"/>
        <scheme val="minor"/>
      </rPr>
      <t>text extraction, validation, and data cleaning</t>
    </r>
    <r>
      <rPr>
        <sz val="11"/>
        <color theme="1"/>
        <rFont val="Aptos Narrow"/>
        <charset val="134"/>
        <scheme val="minor"/>
      </rPr>
      <t>.</t>
    </r>
  </si>
  <si>
    <t>FIND(find_text, within_text, [start_num])</t>
  </si>
  <si>
    <t>The substring you want to find. (Case-sensitive)</t>
  </si>
  <si>
    <t>The main text in which to search.</t>
  </si>
  <si>
    <t>Position to start the search from (default is 1).</t>
  </si>
  <si>
    <t>⭐ Key Features of FIND Function</t>
  </si>
  <si>
    <t>✅ Case-sensitive</t>
  </si>
  <si>
    <t>Differentiates between uppercase and lowercase letters.</t>
  </si>
  <si>
    <t>✅ Finds first match</t>
  </si>
  <si>
    <t>Returns position of first occurrence of text.</t>
  </si>
  <si>
    <t>✅ Optional starting position</t>
  </si>
  <si>
    <t>Start the search from a particular character.</t>
  </si>
  <si>
    <t>❌ No wildcard support</t>
  </si>
  <si>
    <r>
      <rPr>
        <sz val="11"/>
        <color theme="1"/>
        <rFont val="Aptos Narrow"/>
        <charset val="134"/>
        <scheme val="minor"/>
      </rPr>
      <t xml:space="preserve">Cannot use </t>
    </r>
    <r>
      <rPr>
        <sz val="10"/>
        <color theme="1"/>
        <rFont val="Arial Unicode MS"/>
        <charset val="134"/>
      </rPr>
      <t>*</t>
    </r>
    <r>
      <rPr>
        <sz val="11"/>
        <color theme="1"/>
        <rFont val="Aptos Narrow"/>
        <charset val="134"/>
        <scheme val="minor"/>
      </rPr>
      <t xml:space="preserve"> or </t>
    </r>
    <r>
      <rPr>
        <sz val="10"/>
        <color theme="1"/>
        <rFont val="Arial Unicode MS"/>
        <charset val="134"/>
      </rPr>
      <t>?</t>
    </r>
    <r>
      <rPr>
        <sz val="11"/>
        <color theme="1"/>
        <rFont val="Aptos Narrow"/>
        <charset val="134"/>
        <scheme val="minor"/>
      </rPr>
      <t xml:space="preserve"> (unlike </t>
    </r>
    <r>
      <rPr>
        <sz val="10"/>
        <color theme="1"/>
        <rFont val="Arial Unicode MS"/>
        <charset val="134"/>
      </rPr>
      <t>SEARCH</t>
    </r>
    <r>
      <rPr>
        <sz val="11"/>
        <color theme="1"/>
        <rFont val="Aptos Narrow"/>
        <charset val="134"/>
        <scheme val="minor"/>
      </rPr>
      <t>).</t>
    </r>
  </si>
  <si>
    <t>✅ Useful with LEFT, MID, RIGHT</t>
  </si>
  <si>
    <t>Helps extract specific parts of text.</t>
  </si>
  <si>
    <t>❌ Error if text not found</t>
  </si>
  <si>
    <r>
      <rPr>
        <sz val="11"/>
        <color theme="1"/>
        <rFont val="Aptos Narrow"/>
        <charset val="134"/>
        <scheme val="minor"/>
      </rPr>
      <t xml:space="preserve">Returns </t>
    </r>
    <r>
      <rPr>
        <sz val="10"/>
        <color theme="1"/>
        <rFont val="Arial Unicode MS"/>
        <charset val="134"/>
      </rPr>
      <t>#VALUE!</t>
    </r>
    <r>
      <rPr>
        <sz val="11"/>
        <color theme="1"/>
        <rFont val="Aptos Narrow"/>
        <charset val="134"/>
        <scheme val="minor"/>
      </rPr>
      <t xml:space="preserve"> if substring not found.</t>
    </r>
  </si>
  <si>
    <t>📚 Examples &amp; Use Cases of FIND</t>
  </si>
  <si>
    <t>📌 Example 1: Basic FIND</t>
  </si>
  <si>
    <t>❌ Returns error, because "a" ≠ "A" (case-sensitive).</t>
  </si>
  <si>
    <r>
      <rPr>
        <sz val="11"/>
        <color theme="1"/>
        <rFont val="Aptos Narrow"/>
        <charset val="134"/>
        <scheme val="minor"/>
      </rPr>
      <t xml:space="preserve">✅ Returns </t>
    </r>
    <r>
      <rPr>
        <sz val="10"/>
        <color theme="1"/>
        <rFont val="Arial Unicode MS"/>
        <charset val="134"/>
      </rPr>
      <t>1</t>
    </r>
    <r>
      <rPr>
        <sz val="11"/>
        <color theme="1"/>
        <rFont val="Aptos Narrow"/>
        <charset val="134"/>
        <scheme val="minor"/>
      </rPr>
      <t xml:space="preserve"> (since "A" is the first character)</t>
    </r>
  </si>
  <si>
    <t>📌 Example 2: FIND with Start Position</t>
  </si>
  <si>
    <r>
      <rPr>
        <sz val="11"/>
        <color theme="1"/>
        <rFont val="Aptos Narrow"/>
        <charset val="134"/>
        <scheme val="minor"/>
      </rPr>
      <t xml:space="preserve">✅ Returns </t>
    </r>
    <r>
      <rPr>
        <sz val="10"/>
        <color theme="1"/>
        <rFont val="Arial Unicode MS"/>
        <charset val="134"/>
      </rPr>
      <t>7</t>
    </r>
    <r>
      <rPr>
        <sz val="11"/>
        <color theme="1"/>
        <rFont val="Aptos Narrow"/>
        <charset val="134"/>
        <scheme val="minor"/>
      </rPr>
      <t xml:space="preserve"> (starts searching from position 5)</t>
    </r>
  </si>
  <si>
    <t>📌 Example 3: Extract First Name (Using LEFT + FIND)</t>
  </si>
  <si>
    <r>
      <rPr>
        <sz val="11"/>
        <color theme="1"/>
        <rFont val="Aptos Narrow"/>
        <charset val="134"/>
        <scheme val="minor"/>
      </rPr>
      <t xml:space="preserve">If A2 = "John Doe", this returns </t>
    </r>
    <r>
      <rPr>
        <sz val="10"/>
        <color theme="1"/>
        <rFont val="Arial Unicode MS"/>
        <charset val="134"/>
      </rPr>
      <t>"John"</t>
    </r>
  </si>
  <si>
    <t>📌 Example 4: Extract Last Name (Using MID + FIND)</t>
  </si>
  <si>
    <r>
      <rPr>
        <sz val="11"/>
        <color theme="1"/>
        <rFont val="Aptos Narrow"/>
        <charset val="134"/>
        <scheme val="minor"/>
      </rPr>
      <t xml:space="preserve">If A2 = "John Doe", this returns </t>
    </r>
    <r>
      <rPr>
        <sz val="10"/>
        <color theme="1"/>
        <rFont val="Arial Unicode MS"/>
        <charset val="134"/>
      </rPr>
      <t>"Doe"</t>
    </r>
  </si>
  <si>
    <t>📌 Example 5: FIND in Email to Get Username</t>
  </si>
  <si>
    <r>
      <rPr>
        <sz val="11"/>
        <color theme="1"/>
        <rFont val="Aptos Narrow"/>
        <charset val="134"/>
        <scheme val="minor"/>
      </rPr>
      <t xml:space="preserve">If A2 = </t>
    </r>
    <r>
      <rPr>
        <sz val="10"/>
        <color theme="1"/>
        <rFont val="Arial Unicode MS"/>
        <charset val="134"/>
      </rPr>
      <t>"ashwin@gmail.com"</t>
    </r>
    <r>
      <rPr>
        <sz val="11"/>
        <color theme="1"/>
        <rFont val="Aptos Narrow"/>
        <charset val="134"/>
        <scheme val="minor"/>
      </rPr>
      <t xml:space="preserve">, returns </t>
    </r>
    <r>
      <rPr>
        <sz val="10"/>
        <color theme="1"/>
        <rFont val="Arial Unicode MS"/>
        <charset val="134"/>
      </rPr>
      <t>"ashwin"</t>
    </r>
  </si>
  <si>
    <t>📌 Example 6: Get Domain from Email</t>
  </si>
  <si>
    <r>
      <rPr>
        <sz val="11"/>
        <color theme="1"/>
        <rFont val="Aptos Narrow"/>
        <charset val="134"/>
        <scheme val="minor"/>
      </rPr>
      <t xml:space="preserve">If A2 = </t>
    </r>
    <r>
      <rPr>
        <sz val="10"/>
        <color theme="1"/>
        <rFont val="Arial Unicode MS"/>
        <charset val="134"/>
      </rPr>
      <t>"ashwin@gmail.com"</t>
    </r>
    <r>
      <rPr>
        <sz val="11"/>
        <color theme="1"/>
        <rFont val="Aptos Narrow"/>
        <charset val="134"/>
        <scheme val="minor"/>
      </rPr>
      <t xml:space="preserve">, returns </t>
    </r>
    <r>
      <rPr>
        <sz val="10"/>
        <color theme="1"/>
        <rFont val="Arial Unicode MS"/>
        <charset val="134"/>
      </rPr>
      <t>"gmail.com"</t>
    </r>
  </si>
  <si>
    <t>📌 Example 7: FIND with IF for Search Check</t>
  </si>
  <si>
    <r>
      <rPr>
        <sz val="11"/>
        <color theme="1"/>
        <rFont val="Aptos Narrow"/>
        <charset val="134"/>
        <scheme val="minor"/>
      </rPr>
      <t xml:space="preserve">Returns </t>
    </r>
    <r>
      <rPr>
        <sz val="10"/>
        <color theme="1"/>
        <rFont val="Arial Unicode MS"/>
        <charset val="134"/>
      </rPr>
      <t>"Found"</t>
    </r>
    <r>
      <rPr>
        <sz val="11"/>
        <color theme="1"/>
        <rFont val="Aptos Narrow"/>
        <charset val="134"/>
        <scheme val="minor"/>
      </rPr>
      <t xml:space="preserve"> only if </t>
    </r>
    <r>
      <rPr>
        <b/>
        <sz val="11"/>
        <color theme="1"/>
        <rFont val="Aptos Narrow"/>
        <charset val="134"/>
        <scheme val="minor"/>
      </rPr>
      <t>"apple"</t>
    </r>
    <r>
      <rPr>
        <sz val="11"/>
        <color theme="1"/>
        <rFont val="Aptos Narrow"/>
        <charset val="134"/>
        <scheme val="minor"/>
      </rPr>
      <t xml:space="preserve"> exists in A2 </t>
    </r>
    <r>
      <rPr>
        <b/>
        <sz val="11"/>
        <color theme="1"/>
        <rFont val="Aptos Narrow"/>
        <charset val="134"/>
        <scheme val="minor"/>
      </rPr>
      <t>case-sensitive</t>
    </r>
    <r>
      <rPr>
        <sz val="11"/>
        <color theme="1"/>
        <rFont val="Aptos Narrow"/>
        <charset val="134"/>
        <scheme val="minor"/>
      </rPr>
      <t>.</t>
    </r>
  </si>
  <si>
    <t>📌 Example 8: Find Position of Second Space</t>
  </si>
  <si>
    <r>
      <rPr>
        <sz val="11"/>
        <color theme="1"/>
        <rFont val="Aptos Narrow"/>
        <charset val="134"/>
        <scheme val="minor"/>
      </rPr>
      <t xml:space="preserve">Returns the position of the </t>
    </r>
    <r>
      <rPr>
        <b/>
        <sz val="11"/>
        <color theme="1"/>
        <rFont val="Aptos Narrow"/>
        <charset val="134"/>
        <scheme val="minor"/>
      </rPr>
      <t>second space</t>
    </r>
    <r>
      <rPr>
        <sz val="11"/>
        <color theme="1"/>
        <rFont val="Aptos Narrow"/>
        <charset val="134"/>
        <scheme val="minor"/>
      </rPr>
      <t xml:space="preserve"> in a text.</t>
    </r>
  </si>
  <si>
    <t>📌 Example 9: Use with RIGHT to Extract File Extension</t>
  </si>
  <si>
    <r>
      <rPr>
        <sz val="11"/>
        <color theme="1"/>
        <rFont val="Aptos Narrow"/>
        <charset val="134"/>
        <scheme val="minor"/>
      </rPr>
      <t xml:space="preserve">If A2 = </t>
    </r>
    <r>
      <rPr>
        <sz val="10"/>
        <color theme="1"/>
        <rFont val="Arial Unicode MS"/>
        <charset val="134"/>
      </rPr>
      <t>"report.pdf"</t>
    </r>
    <r>
      <rPr>
        <sz val="11"/>
        <color theme="1"/>
        <rFont val="Aptos Narrow"/>
        <charset val="134"/>
        <scheme val="minor"/>
      </rPr>
      <t xml:space="preserve">, returns </t>
    </r>
    <r>
      <rPr>
        <sz val="10"/>
        <color theme="1"/>
        <rFont val="Arial Unicode MS"/>
        <charset val="134"/>
      </rPr>
      <t>"pdf"</t>
    </r>
  </si>
  <si>
    <t>📌 Example 10: Find Character Index (Example: Dash)</t>
  </si>
  <si>
    <r>
      <rPr>
        <sz val="11"/>
        <color theme="1"/>
        <rFont val="Aptos Narrow"/>
        <charset val="134"/>
        <scheme val="minor"/>
      </rPr>
      <t xml:space="preserve">Returns position of </t>
    </r>
    <r>
      <rPr>
        <sz val="10"/>
        <color theme="1"/>
        <rFont val="Arial Unicode MS"/>
        <charset val="134"/>
      </rPr>
      <t>-</t>
    </r>
    <r>
      <rPr>
        <sz val="11"/>
        <color theme="1"/>
        <rFont val="Aptos Narrow"/>
        <charset val="134"/>
        <scheme val="minor"/>
      </rPr>
      <t xml:space="preserve"> in the text like "123-456"</t>
    </r>
  </si>
  <si>
    <t>🔁 FIND vs SEARCH – Quick Comparison</t>
  </si>
  <si>
    <t>Error on no match</t>
  </si>
  <si>
    <t>✅ Yes (#VALUE!)</t>
  </si>
  <si>
    <t>Supports start_num</t>
  </si>
  <si>
    <t>✅ Summary of FIND Function Capabilities</t>
  </si>
  <si>
    <t>✔ Case-sensitive search</t>
  </si>
  <si>
    <t>Differentiates upper/lower case</t>
  </si>
  <si>
    <t>✔ Finds exact substring</t>
  </si>
  <si>
    <t>Returns the first character’s position</t>
  </si>
  <si>
    <t>✔ Text extraction tool</t>
  </si>
  <si>
    <r>
      <rPr>
        <sz val="11"/>
        <color theme="1"/>
        <rFont val="Aptos Narrow"/>
        <charset val="134"/>
        <scheme val="minor"/>
      </rPr>
      <t xml:space="preserve">Often used with </t>
    </r>
    <r>
      <rPr>
        <sz val="10"/>
        <color theme="1"/>
        <rFont val="Arial Unicode MS"/>
        <charset val="134"/>
      </rPr>
      <t>LEFT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MID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RIGHT</t>
    </r>
  </si>
  <si>
    <t>✔ Helpful in data parsing</t>
  </si>
  <si>
    <t>Names, emails, file paths, etc.</t>
  </si>
  <si>
    <t>❌ No wildcard or partial matching</t>
  </si>
  <si>
    <r>
      <rPr>
        <sz val="11"/>
        <color theme="1"/>
        <rFont val="Aptos Narrow"/>
        <charset val="134"/>
        <scheme val="minor"/>
      </rPr>
      <t xml:space="preserve">Use </t>
    </r>
    <r>
      <rPr>
        <sz val="10"/>
        <color theme="1"/>
        <rFont val="Arial Unicode MS"/>
        <charset val="134"/>
      </rPr>
      <t>SEARCH</t>
    </r>
    <r>
      <rPr>
        <sz val="11"/>
        <color theme="1"/>
        <rFont val="Aptos Narrow"/>
        <charset val="134"/>
        <scheme val="minor"/>
      </rPr>
      <t xml:space="preserve"> instead for that</t>
    </r>
  </si>
  <si>
    <t>Reverse Sale Number</t>
  </si>
  <si>
    <t xml:space="preserve">Top reverse </t>
  </si>
  <si>
    <t>Down To Top Reverse</t>
  </si>
  <si>
    <t>Name with Unwanted Characters</t>
  </si>
  <si>
    <t>Name After Cleanup</t>
  </si>
  <si>
    <t>Unwanted Characters</t>
  </si>
  <si>
    <t>~John*Doe@"</t>
  </si>
  <si>
    <t>_</t>
  </si>
  <si>
    <t>"Alice_&amp;Smiths"</t>
  </si>
  <si>
    <t>"Bob#ohnson"</t>
  </si>
  <si>
    <t>@</t>
  </si>
  <si>
    <t>"Emily$Johnson"</t>
  </si>
  <si>
    <t>!</t>
  </si>
  <si>
    <t>Michael@Brown</t>
  </si>
  <si>
    <t>"Sarah%Clark"</t>
  </si>
  <si>
    <t>#</t>
  </si>
  <si>
    <t>&amp;</t>
  </si>
  <si>
    <t>~</t>
  </si>
  <si>
    <t>"</t>
  </si>
  <si>
    <t>Lambda Function In Excel</t>
  </si>
  <si>
    <t>Items</t>
  </si>
  <si>
    <t>Discount</t>
  </si>
  <si>
    <t>Discount Rate</t>
  </si>
  <si>
    <t>Electric Stove</t>
  </si>
  <si>
    <t>Television</t>
  </si>
  <si>
    <t>Water Heater</t>
  </si>
  <si>
    <t>Juicer</t>
  </si>
  <si>
    <t>Toaster</t>
  </si>
  <si>
    <t>Air Cooler</t>
  </si>
  <si>
    <t>Air Conditioner</t>
  </si>
  <si>
    <t>Refrigerator</t>
  </si>
  <si>
    <t xml:space="preserve">Dishwasher </t>
  </si>
  <si>
    <t>Water Purifier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</si>
  <si>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0"/>
        <color theme="1"/>
        <rFont val="Arial Unicode MS"/>
        <charset val="134"/>
      </rPr>
      <t>LAMBDA</t>
    </r>
    <r>
      <rPr>
        <b/>
        <sz val="11"/>
        <color theme="1"/>
        <rFont val="Aptos Narrow"/>
        <charset val="134"/>
        <scheme val="minor"/>
      </rPr>
      <t xml:space="preserve"> function</t>
    </r>
    <r>
      <rPr>
        <sz val="11"/>
        <color theme="1"/>
        <rFont val="Aptos Narrow"/>
        <charset val="134"/>
        <scheme val="minor"/>
      </rPr>
      <t xml:space="preserve"> in Excel allows you to </t>
    </r>
    <r>
      <rPr>
        <b/>
        <sz val="11"/>
        <color theme="1"/>
        <rFont val="Aptos Narrow"/>
        <charset val="134"/>
        <scheme val="minor"/>
      </rPr>
      <t>create custom functions</t>
    </r>
    <r>
      <rPr>
        <sz val="11"/>
        <color theme="1"/>
        <rFont val="Aptos Narrow"/>
        <charset val="134"/>
        <scheme val="minor"/>
      </rPr>
      <t xml:space="preserve"> using Excel formulas — </t>
    </r>
    <r>
      <rPr>
        <b/>
        <sz val="11"/>
        <color theme="1"/>
        <rFont val="Aptos Narrow"/>
        <charset val="134"/>
        <scheme val="minor"/>
      </rPr>
      <t>without using VBA or macros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</si>
  <si>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It brings </t>
    </r>
    <r>
      <rPr>
        <b/>
        <sz val="11"/>
        <color theme="1"/>
        <rFont val="Aptos Narrow"/>
        <charset val="134"/>
        <scheme val="minor"/>
      </rPr>
      <t>reusability</t>
    </r>
    <r>
      <rPr>
        <sz val="11"/>
        <color theme="1"/>
        <rFont val="Aptos Narrow"/>
        <charset val="134"/>
        <scheme val="minor"/>
      </rPr>
      <t xml:space="preserve">, </t>
    </r>
    <r>
      <rPr>
        <b/>
        <sz val="11"/>
        <color theme="1"/>
        <rFont val="Aptos Narrow"/>
        <charset val="134"/>
        <scheme val="minor"/>
      </rPr>
      <t>cleaner formulas</t>
    </r>
    <r>
      <rPr>
        <sz val="11"/>
        <color theme="1"/>
        <rFont val="Aptos Narrow"/>
        <charset val="134"/>
        <scheme val="minor"/>
      </rPr>
      <t xml:space="preserve">, and </t>
    </r>
    <r>
      <rPr>
        <b/>
        <sz val="11"/>
        <color theme="1"/>
        <rFont val="Aptos Narrow"/>
        <charset val="134"/>
        <scheme val="minor"/>
      </rPr>
      <t>modularity</t>
    </r>
    <r>
      <rPr>
        <sz val="11"/>
        <color theme="1"/>
        <rFont val="Aptos Narrow"/>
        <charset val="134"/>
        <scheme val="minor"/>
      </rPr>
      <t xml:space="preserve"> to Excel, just like functions in programming languages.</t>
    </r>
  </si>
  <si>
    <t>📘 What is LAMBDA Function?</t>
  </si>
  <si>
    <t>🔹 Definition:</t>
  </si>
  <si>
    <t>=LAMBDA([parameter1, parameter2, …], calculation)</t>
  </si>
  <si>
    <r>
      <rPr>
        <sz val="11"/>
        <color theme="1"/>
        <rFont val="Aptos Narrow"/>
        <charset val="134"/>
        <scheme val="minor"/>
      </rPr>
      <t xml:space="preserve">You define </t>
    </r>
    <r>
      <rPr>
        <b/>
        <sz val="11"/>
        <color theme="1"/>
        <rFont val="Aptos Narrow"/>
        <charset val="134"/>
        <scheme val="minor"/>
      </rPr>
      <t>parameters</t>
    </r>
    <r>
      <rPr>
        <sz val="11"/>
        <color theme="1"/>
        <rFont val="Aptos Narrow"/>
        <charset val="134"/>
        <scheme val="minor"/>
      </rPr>
      <t xml:space="preserve"> (inputs).</t>
    </r>
  </si>
  <si>
    <t>Then, you write a formula (calculation) using those parameters.</t>
  </si>
  <si>
    <r>
      <rPr>
        <sz val="11"/>
        <color theme="1"/>
        <rFont val="Aptos Narrow"/>
        <charset val="134"/>
        <scheme val="minor"/>
      </rPr>
      <t xml:space="preserve">You can then </t>
    </r>
    <r>
      <rPr>
        <b/>
        <sz val="11"/>
        <color theme="1"/>
        <rFont val="Aptos Narrow"/>
        <charset val="134"/>
        <scheme val="minor"/>
      </rPr>
      <t>reuse</t>
    </r>
    <r>
      <rPr>
        <sz val="11"/>
        <color theme="1"/>
        <rFont val="Aptos Narrow"/>
        <charset val="134"/>
        <scheme val="minor"/>
      </rPr>
      <t xml:space="preserve"> this logic as a custom function.</t>
    </r>
  </si>
  <si>
    <t>✅ Only available in Excel 365 and Excel 2021 or later.</t>
  </si>
  <si>
    <r>
      <rPr>
        <b/>
        <sz val="18"/>
        <color theme="1"/>
        <rFont val="Aptos Narrow"/>
        <charset val="134"/>
        <scheme val="minor"/>
      </rPr>
      <t xml:space="preserve">✅ Key Features of </t>
    </r>
    <r>
      <rPr>
        <b/>
        <sz val="10"/>
        <color theme="1"/>
        <rFont val="Arial Unicode MS"/>
        <charset val="134"/>
      </rPr>
      <t>LAMBDA</t>
    </r>
    <r>
      <rPr>
        <b/>
        <sz val="18"/>
        <color theme="1"/>
        <rFont val="Aptos Narrow"/>
        <charset val="134"/>
        <scheme val="minor"/>
      </rPr>
      <t xml:space="preserve"> Function</t>
    </r>
  </si>
  <si>
    <t>🔄 Reusable logic</t>
  </si>
  <si>
    <t>You can name and reuse complex formulas</t>
  </si>
  <si>
    <t>🧠 Modular thinking</t>
  </si>
  <si>
    <t>Break large formulas into logical blocks</t>
  </si>
  <si>
    <t>🧪 Debugging</t>
  </si>
  <si>
    <t>Easier to test parts of logic separately</t>
  </si>
  <si>
    <t>🧮 Recursive functions</t>
  </si>
  <si>
    <t>Create custom functions that call themselves</t>
  </si>
  <si>
    <t>👥 Supports multiple parameters</t>
  </si>
  <si>
    <t>Can have 1 to 253 inputs</t>
  </si>
  <si>
    <r>
      <rPr>
        <sz val="11"/>
        <color theme="1"/>
        <rFont val="Aptos Narrow"/>
        <charset val="134"/>
        <scheme val="minor"/>
      </rPr>
      <t xml:space="preserve">🧰 Use with </t>
    </r>
    <r>
      <rPr>
        <b/>
        <sz val="11"/>
        <color theme="1"/>
        <rFont val="Aptos Narrow"/>
        <charset val="134"/>
        <scheme val="minor"/>
      </rPr>
      <t>Name Manager</t>
    </r>
  </si>
  <si>
    <t>Assign a name to create a custom function</t>
  </si>
  <si>
    <r>
      <rPr>
        <sz val="11"/>
        <color theme="1"/>
        <rFont val="Aptos Narrow"/>
        <charset val="134"/>
        <scheme val="minor"/>
      </rPr>
      <t xml:space="preserve">🔧 Combine with </t>
    </r>
    <r>
      <rPr>
        <sz val="10"/>
        <color theme="1"/>
        <rFont val="Arial Unicode MS"/>
        <charset val="134"/>
      </rPr>
      <t>LET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IF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TEXT</t>
    </r>
    <r>
      <rPr>
        <sz val="11"/>
        <color theme="1"/>
        <rFont val="Aptos Narrow"/>
        <charset val="134"/>
        <scheme val="minor"/>
      </rPr>
      <t>, etc.</t>
    </r>
  </si>
  <si>
    <t>Works with other Excel formulas</t>
  </si>
  <si>
    <t>📚 Use Cases &amp; Examples</t>
  </si>
  <si>
    <t xml:space="preserve"> Example 1: Simple Square Function</t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</si>
  <si>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25</t>
    </r>
  </si>
  <si>
    <t>Explanation: This calculates 5².</t>
  </si>
  <si>
    <t>Example 2: Add Two Numbers</t>
  </si>
  <si>
    <t xml:space="preserve"> Example 3: Reusable Tax Calculator Function (Named Function)</t>
  </si>
  <si>
    <r>
      <rPr>
        <sz val="11"/>
        <color theme="1"/>
        <rFont val="Aptos Narrow"/>
        <charset val="134"/>
        <scheme val="minor"/>
      </rPr>
      <t xml:space="preserve">1. Go to </t>
    </r>
    <r>
      <rPr>
        <b/>
        <sz val="11"/>
        <color theme="1"/>
        <rFont val="Aptos Narrow"/>
        <charset val="134"/>
        <scheme val="minor"/>
      </rPr>
      <t>Formulas → Name Manager → New</t>
    </r>
  </si>
  <si>
    <r>
      <rPr>
        <sz val="11"/>
        <color theme="1"/>
        <rFont val="Aptos Narrow"/>
        <charset val="134"/>
        <scheme val="minor"/>
      </rPr>
      <t xml:space="preserve">2. Set name: </t>
    </r>
    <r>
      <rPr>
        <sz val="10"/>
        <color theme="1"/>
        <rFont val="Arial Unicode MS"/>
        <charset val="134"/>
      </rPr>
      <t>CalculateTax</t>
    </r>
  </si>
  <si>
    <t>3. Set formula:</t>
  </si>
  <si>
    <t>✅ Usage in sheet:</t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</si>
  <si>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180</t>
    </r>
  </si>
  <si>
    <r>
      <rPr>
        <b/>
        <sz val="13.5"/>
        <color theme="1"/>
        <rFont val="Aptos Narrow"/>
        <charset val="134"/>
        <scheme val="minor"/>
      </rPr>
      <t xml:space="preserve">Example 4: Use with </t>
    </r>
    <r>
      <rPr>
        <b/>
        <sz val="10"/>
        <color theme="1"/>
        <rFont val="Arial Unicode MS"/>
        <charset val="134"/>
      </rPr>
      <t>LET</t>
    </r>
    <r>
      <rPr>
        <b/>
        <sz val="13.5"/>
        <color theme="1"/>
        <rFont val="Aptos Narrow"/>
        <charset val="134"/>
        <scheme val="minor"/>
      </rPr>
      <t xml:space="preserve"> for Clarity</t>
    </r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</si>
  <si>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36</t>
    </r>
  </si>
  <si>
    <t xml:space="preserve"> Example 5: Calculate Average of Three Numbers</t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</si>
  <si>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20</t>
    </r>
  </si>
  <si>
    <t xml:space="preserve"> Example 6: Custom Function to Check Even or Odd</t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</si>
  <si>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Odd</t>
    </r>
  </si>
  <si>
    <r>
      <rPr>
        <b/>
        <sz val="13.5"/>
        <color theme="1"/>
        <rFont val="Aptos Narrow"/>
        <charset val="134"/>
        <scheme val="minor"/>
      </rPr>
      <t xml:space="preserve">Example 7: Combine with </t>
    </r>
    <r>
      <rPr>
        <b/>
        <sz val="10"/>
        <color theme="1"/>
        <rFont val="Arial Unicode MS"/>
        <charset val="134"/>
      </rPr>
      <t>TEXT</t>
    </r>
    <r>
      <rPr>
        <b/>
        <sz val="13.5"/>
        <color theme="1"/>
        <rFont val="Aptos Narrow"/>
        <charset val="134"/>
        <scheme val="minor"/>
      </rPr>
      <t xml:space="preserve"> for Formatting</t>
    </r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</si>
  <si>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$2,500.00</t>
    </r>
  </si>
  <si>
    <t xml:space="preserve"> Example 8: Recursive Function for Factorial</t>
  </si>
  <si>
    <r>
      <rPr>
        <sz val="11"/>
        <color theme="1"/>
        <rFont val="Aptos Narrow"/>
        <charset val="134"/>
        <scheme val="minor"/>
      </rPr>
      <t xml:space="preserve">Use </t>
    </r>
    <r>
      <rPr>
        <b/>
        <sz val="11"/>
        <color theme="1"/>
        <rFont val="Aptos Narrow"/>
        <charset val="134"/>
        <scheme val="minor"/>
      </rPr>
      <t>Name Manager → New</t>
    </r>
  </si>
  <si>
    <r>
      <rPr>
        <sz val="11"/>
        <color theme="1"/>
        <rFont val="Aptos Narrow"/>
        <charset val="134"/>
        <scheme val="minor"/>
      </rPr>
      <t xml:space="preserve">Name: </t>
    </r>
    <r>
      <rPr>
        <sz val="10"/>
        <color theme="1"/>
        <rFont val="Arial Unicode MS"/>
        <charset val="134"/>
      </rPr>
      <t>Factorial</t>
    </r>
  </si>
  <si>
    <t>Formula:</t>
  </si>
  <si>
    <t>✅ Usage:</t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</si>
  <si>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120</t>
    </r>
  </si>
  <si>
    <t xml:space="preserve"> Example 9: LAMBDA with Condition</t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</si>
  <si>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Fail</t>
    </r>
  </si>
  <si>
    <t xml:space="preserve"> Example 10: Custom Percentage Change Function</t>
  </si>
  <si>
    <r>
      <rPr>
        <sz val="11"/>
        <color theme="1"/>
        <rFont val="Aptos Narrow"/>
        <charset val="134"/>
        <scheme val="minor"/>
      </rPr>
      <t xml:space="preserve">✅ Output: </t>
    </r>
    <r>
      <rPr>
        <sz val="10"/>
        <color theme="1"/>
        <rFont val="Arial Unicode MS"/>
        <charset val="134"/>
      </rPr>
      <t>0.2</t>
    </r>
    <r>
      <rPr>
        <sz val="11"/>
        <color theme="1"/>
        <rFont val="Aptos Narrow"/>
        <charset val="134"/>
        <scheme val="minor"/>
      </rPr>
      <t xml:space="preserve"> → 20% increase</t>
    </r>
  </si>
  <si>
    <t>🔁 How to Create a Named LAMBDA Function (Steps)</t>
  </si>
  <si>
    <r>
      <rPr>
        <b/>
        <sz val="11"/>
        <color theme="1"/>
        <rFont val="Aptos Narrow"/>
        <charset val="134"/>
        <scheme val="minor"/>
      </rPr>
      <t>1. Go to</t>
    </r>
    <r>
      <rPr>
        <sz val="11"/>
        <color theme="1"/>
        <rFont val="Aptos Narrow"/>
        <charset val="134"/>
        <scheme val="minor"/>
      </rPr>
      <t>: Formulas → Name Manager → New</t>
    </r>
  </si>
  <si>
    <r>
      <rPr>
        <b/>
        <sz val="11"/>
        <color theme="1"/>
        <rFont val="Aptos Narrow"/>
        <charset val="134"/>
        <scheme val="minor"/>
      </rPr>
      <t>2. Name</t>
    </r>
    <r>
      <rPr>
        <sz val="11"/>
        <color theme="1"/>
        <rFont val="Aptos Narrow"/>
        <charset val="134"/>
        <scheme val="minor"/>
      </rPr>
      <t xml:space="preserve">: (e.g., </t>
    </r>
    <r>
      <rPr>
        <sz val="10"/>
        <color theme="1"/>
        <rFont val="Arial Unicode MS"/>
        <charset val="134"/>
      </rPr>
      <t>MyFunction</t>
    </r>
    <r>
      <rPr>
        <sz val="11"/>
        <color theme="1"/>
        <rFont val="Aptos Narrow"/>
        <charset val="134"/>
        <scheme val="minor"/>
      </rPr>
      <t>)</t>
    </r>
  </si>
  <si>
    <r>
      <rPr>
        <b/>
        <sz val="11"/>
        <color theme="1"/>
        <rFont val="Aptos Narrow"/>
        <charset val="134"/>
        <scheme val="minor"/>
      </rPr>
      <t>3. Refers to</t>
    </r>
    <r>
      <rPr>
        <sz val="11"/>
        <color theme="1"/>
        <rFont val="Aptos Narrow"/>
        <charset val="134"/>
        <scheme val="minor"/>
      </rPr>
      <t>:</t>
    </r>
  </si>
  <si>
    <t>4. Use like:</t>
  </si>
  <si>
    <t>✅ Summary Table</t>
  </si>
  <si>
    <t>Support</t>
  </si>
  <si>
    <t>Recursive functions</t>
  </si>
  <si>
    <t>Named custom functions</t>
  </si>
  <si>
    <t>Multiple parameters</t>
  </si>
  <si>
    <t>Can return arrays</t>
  </si>
  <si>
    <t>Works with LET</t>
  </si>
  <si>
    <t>Works in Excel 365</t>
  </si>
  <si>
    <t>Number of parameters</t>
  </si>
  <si>
    <t>Up to 253</t>
  </si>
  <si>
    <t>Replaces VBA/macros?</t>
  </si>
  <si>
    <t>✅ For many tasks</t>
  </si>
  <si>
    <t>Text1</t>
  </si>
  <si>
    <t>Text2</t>
  </si>
  <si>
    <t>Text3</t>
  </si>
  <si>
    <t>B</t>
  </si>
  <si>
    <t>C</t>
  </si>
  <si>
    <t>Choose Function</t>
  </si>
  <si>
    <t>Roll no.</t>
  </si>
  <si>
    <t>Class</t>
  </si>
  <si>
    <t>Section</t>
  </si>
  <si>
    <t>Section Subject</t>
  </si>
  <si>
    <t>Neha</t>
  </si>
  <si>
    <t>HINDI</t>
  </si>
  <si>
    <t>No,</t>
  </si>
  <si>
    <t>Fruit List</t>
  </si>
  <si>
    <t>karishma</t>
  </si>
  <si>
    <t>MATHS</t>
  </si>
  <si>
    <t>Sneha</t>
  </si>
  <si>
    <t>SCIENCE</t>
  </si>
  <si>
    <t>Banana</t>
  </si>
  <si>
    <t>Shweta</t>
  </si>
  <si>
    <t>Mango</t>
  </si>
  <si>
    <t>Divya</t>
  </si>
  <si>
    <t>Grapes</t>
  </si>
  <si>
    <t>ujjwal</t>
  </si>
  <si>
    <t>Vedansh</t>
  </si>
  <si>
    <t>MARATHI</t>
  </si>
  <si>
    <t>Saransh</t>
  </si>
  <si>
    <t>D</t>
  </si>
  <si>
    <t>ENGLISH</t>
  </si>
  <si>
    <t>Value Function In Excel</t>
  </si>
  <si>
    <t>convert text that appears as a number into an actual number</t>
  </si>
  <si>
    <t>give formatting in text form</t>
  </si>
  <si>
    <t>Value</t>
  </si>
  <si>
    <t>e.g</t>
  </si>
  <si>
    <t>abc</t>
  </si>
  <si>
    <r>
      <rPr>
        <b/>
        <sz val="13.5"/>
        <color theme="1"/>
        <rFont val="Aptos Narrow"/>
        <charset val="134"/>
        <scheme val="minor"/>
      </rPr>
      <t xml:space="preserve">📘 What is the </t>
    </r>
    <r>
      <rPr>
        <b/>
        <sz val="10"/>
        <color theme="1"/>
        <rFont val="Arial Unicode MS"/>
        <charset val="134"/>
      </rPr>
      <t>VALUE</t>
    </r>
    <r>
      <rPr>
        <b/>
        <sz val="13.5"/>
        <color theme="1"/>
        <rFont val="Aptos Narrow"/>
        <charset val="134"/>
        <scheme val="minor"/>
      </rPr>
      <t xml:space="preserve"> Function in Excel?</t>
    </r>
  </si>
  <si>
    <r>
      <rPr>
        <sz val="11"/>
        <color theme="1"/>
        <rFont val="Aptos Narrow"/>
        <charset val="134"/>
        <scheme val="minor"/>
      </rPr>
      <t xml:space="preserve">The </t>
    </r>
    <r>
      <rPr>
        <sz val="10"/>
        <color theme="1"/>
        <rFont val="Arial Unicode MS"/>
        <charset val="134"/>
      </rPr>
      <t>VALUE</t>
    </r>
    <r>
      <rPr>
        <sz val="11"/>
        <color theme="1"/>
        <rFont val="Aptos Narrow"/>
        <charset val="134"/>
        <scheme val="minor"/>
      </rPr>
      <t xml:space="preserve"> function in Excel </t>
    </r>
    <r>
      <rPr>
        <b/>
        <sz val="11"/>
        <color theme="1"/>
        <rFont val="Aptos Narrow"/>
        <charset val="134"/>
        <scheme val="minor"/>
      </rPr>
      <t>converts text that appears in a recognized number, date, or time format into a numeric value</t>
    </r>
    <r>
      <rPr>
        <sz val="11"/>
        <color theme="1"/>
        <rFont val="Aptos Narrow"/>
        <charset val="134"/>
        <scheme val="minor"/>
      </rPr>
      <t>.</t>
    </r>
  </si>
  <si>
    <r>
      <rPr>
        <b/>
        <sz val="11"/>
        <color theme="1"/>
        <rFont val="Aptos Narrow"/>
        <charset val="134"/>
        <scheme val="minor"/>
      </rPr>
      <t>text</t>
    </r>
    <r>
      <rPr>
        <sz val="11"/>
        <color theme="1"/>
        <rFont val="Aptos Narrow"/>
        <charset val="134"/>
        <scheme val="minor"/>
      </rPr>
      <t xml:space="preserve">: A number in text format (e.g., </t>
    </r>
    <r>
      <rPr>
        <sz val="10"/>
        <color theme="1"/>
        <rFont val="Arial Unicode MS"/>
        <charset val="134"/>
      </rPr>
      <t>"123"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"10/08/2025"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"2:30 PM"</t>
    </r>
    <r>
      <rPr>
        <sz val="11"/>
        <color theme="1"/>
        <rFont val="Aptos Narrow"/>
        <charset val="134"/>
        <scheme val="minor"/>
      </rPr>
      <t>)</t>
    </r>
  </si>
  <si>
    <r>
      <rPr>
        <sz val="11"/>
        <color theme="1"/>
        <rFont val="Aptos Narrow"/>
        <charset val="134"/>
        <scheme val="minor"/>
      </rPr>
      <t xml:space="preserve">✅ Output: A numeric value (e.g., </t>
    </r>
    <r>
      <rPr>
        <sz val="10"/>
        <color theme="1"/>
        <rFont val="Arial Unicode MS"/>
        <charset val="134"/>
      </rPr>
      <t>123</t>
    </r>
    <r>
      <rPr>
        <sz val="11"/>
        <color theme="1"/>
        <rFont val="Aptos Narrow"/>
        <charset val="134"/>
        <scheme val="minor"/>
      </rPr>
      <t>, a date serial number, or a time serial number)</t>
    </r>
  </si>
  <si>
    <r>
      <rPr>
        <b/>
        <sz val="13.5"/>
        <color theme="1"/>
        <rFont val="Aptos Narrow"/>
        <charset val="134"/>
        <scheme val="minor"/>
      </rPr>
      <t xml:space="preserve"> Key Features of </t>
    </r>
    <r>
      <rPr>
        <b/>
        <sz val="10"/>
        <color theme="1"/>
        <rFont val="Arial Unicode MS"/>
        <charset val="134"/>
      </rPr>
      <t>VALUE</t>
    </r>
    <r>
      <rPr>
        <b/>
        <sz val="13.5"/>
        <color theme="1"/>
        <rFont val="Aptos Narrow"/>
        <charset val="134"/>
        <scheme val="minor"/>
      </rPr>
      <t xml:space="preserve"> Function:</t>
    </r>
  </si>
  <si>
    <t>🔄 Converts text to number</t>
  </si>
  <si>
    <t>Useful when numbers are stored as text</t>
  </si>
  <si>
    <t>🧮 Enables calculations</t>
  </si>
  <si>
    <t>Allows numeric operations on text-formatted numbers</t>
  </si>
  <si>
    <t>⏱ Supports dates/times</t>
  </si>
  <si>
    <t>Converts text-based dates/times to serial numbers</t>
  </si>
  <si>
    <t>🤝 Used with other functions</t>
  </si>
  <si>
    <t>Works well with IF, SUM, VLOOKUP, etc.</t>
  </si>
  <si>
    <t>🛠 Auto conversion in new Excel</t>
  </si>
  <si>
    <r>
      <rPr>
        <sz val="11"/>
        <color theme="1"/>
        <rFont val="Aptos Narrow"/>
        <charset val="134"/>
        <scheme val="minor"/>
      </rPr>
      <t xml:space="preserve">In Excel 365, direct math often auto-converts text, but </t>
    </r>
    <r>
      <rPr>
        <sz val="10"/>
        <color theme="1"/>
        <rFont val="Arial Unicode MS"/>
        <charset val="134"/>
      </rPr>
      <t>VALUE()</t>
    </r>
    <r>
      <rPr>
        <sz val="11"/>
        <color theme="1"/>
        <rFont val="Aptos Narrow"/>
        <charset val="134"/>
        <scheme val="minor"/>
      </rPr>
      <t xml:space="preserve"> ensures precision</t>
    </r>
  </si>
  <si>
    <t>🔢 Detects Excel's number system</t>
  </si>
  <si>
    <t>Converts recognized formats (e.g., currency, %, time)</t>
  </si>
  <si>
    <t xml:space="preserve"> Examples &amp; Use Cases:</t>
  </si>
  <si>
    <t>✅ Example 1: Convert Text Number to Numeric</t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</si>
  <si>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123</t>
    </r>
  </si>
  <si>
    <r>
      <rPr>
        <sz val="11"/>
        <color theme="1"/>
        <rFont val="Aptos Narrow"/>
        <charset val="134"/>
        <scheme val="minor"/>
      </rPr>
      <t xml:space="preserve">🧠 Explanation: </t>
    </r>
    <r>
      <rPr>
        <sz val="10"/>
        <color theme="1"/>
        <rFont val="Arial Unicode MS"/>
        <charset val="134"/>
      </rPr>
      <t>"123"</t>
    </r>
    <r>
      <rPr>
        <sz val="11"/>
        <color theme="1"/>
        <rFont val="Aptos Narrow"/>
        <charset val="134"/>
        <scheme val="minor"/>
      </rPr>
      <t xml:space="preserve"> is text → becomes numeric </t>
    </r>
    <r>
      <rPr>
        <sz val="10"/>
        <color theme="1"/>
        <rFont val="Arial Unicode MS"/>
        <charset val="134"/>
      </rPr>
      <t>123</t>
    </r>
  </si>
  <si>
    <t>✅ Example 2: Text Date to Serial Date</t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</si>
  <si>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45147</t>
    </r>
  </si>
  <si>
    <t>🧠 Explanation: Excel serial number for 10-Aug-2025</t>
  </si>
  <si>
    <t>✅ Example 3: Text Time to Serial Time</t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</si>
  <si>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0.604166667</t>
    </r>
  </si>
  <si>
    <t>🧠 Explanation: Decimal representation of time</t>
  </si>
  <si>
    <r>
      <rPr>
        <b/>
        <sz val="13.5"/>
        <color theme="1"/>
        <rFont val="Aptos Narrow"/>
        <charset val="134"/>
        <scheme val="minor"/>
      </rPr>
      <t xml:space="preserve">✅ Example 4: Use with </t>
    </r>
    <r>
      <rPr>
        <b/>
        <sz val="10"/>
        <color theme="1"/>
        <rFont val="Arial Unicode MS"/>
        <charset val="134"/>
      </rPr>
      <t>IF</t>
    </r>
    <r>
      <rPr>
        <b/>
        <sz val="13.5"/>
        <color theme="1"/>
        <rFont val="Aptos Narrow"/>
        <charset val="134"/>
        <scheme val="minor"/>
      </rPr>
      <t xml:space="preserve"> Condition</t>
    </r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</si>
  <si>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Yes</t>
    </r>
  </si>
  <si>
    <r>
      <rPr>
        <sz val="11"/>
        <color theme="1"/>
        <rFont val="Aptos Narrow"/>
        <charset val="134"/>
        <scheme val="minor"/>
      </rPr>
      <t xml:space="preserve">🧠 Explanation: VALUE returns </t>
    </r>
    <r>
      <rPr>
        <sz val="10"/>
        <color theme="1"/>
        <rFont val="Arial Unicode MS"/>
        <charset val="134"/>
      </rPr>
      <t>100</t>
    </r>
    <r>
      <rPr>
        <sz val="11"/>
        <color theme="1"/>
        <rFont val="Aptos Narrow"/>
        <charset val="134"/>
        <scheme val="minor"/>
      </rPr>
      <t>, which is greater than 50</t>
    </r>
  </si>
  <si>
    <r>
      <rPr>
        <b/>
        <sz val="13.5"/>
        <color theme="1"/>
        <rFont val="Aptos Narrow"/>
        <charset val="134"/>
        <scheme val="minor"/>
      </rPr>
      <t xml:space="preserve">✅ Example 5: Use with </t>
    </r>
    <r>
      <rPr>
        <b/>
        <sz val="10"/>
        <color theme="1"/>
        <rFont val="Arial Unicode MS"/>
        <charset val="134"/>
      </rPr>
      <t>SUM</t>
    </r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</si>
  <si>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300</t>
    </r>
  </si>
  <si>
    <t>✅ Example 6: Convert a Range with Text Numbers</t>
  </si>
  <si>
    <t>If A1:A3 contain:</t>
  </si>
  <si>
    <t>"10"</t>
  </si>
  <si>
    <t>"20"</t>
  </si>
  <si>
    <t>"30"</t>
  </si>
  <si>
    <t>Then:</t>
  </si>
  <si>
    <r>
      <rPr>
        <sz val="11"/>
        <color theme="1"/>
        <rFont val="Aptos Narrow"/>
        <charset val="134"/>
        <scheme val="minor"/>
      </rPr>
      <t xml:space="preserve">🔹 Output: </t>
    </r>
    <r>
      <rPr>
        <sz val="10"/>
        <color theme="1"/>
        <rFont val="Arial Unicode MS"/>
        <charset val="134"/>
      </rPr>
      <t>60</t>
    </r>
  </si>
  <si>
    <r>
      <rPr>
        <b/>
        <sz val="13.5"/>
        <color theme="1"/>
        <rFont val="Aptos Narrow"/>
        <charset val="134"/>
        <scheme val="minor"/>
      </rPr>
      <t xml:space="preserve">✅ Example 7: Use with </t>
    </r>
    <r>
      <rPr>
        <b/>
        <sz val="10"/>
        <color theme="1"/>
        <rFont val="Arial Unicode MS"/>
        <charset val="134"/>
      </rPr>
      <t>VLOOKUP</t>
    </r>
  </si>
  <si>
    <t>Assume you have numeric lookup values stored as text:</t>
  </si>
  <si>
    <r>
      <rPr>
        <b/>
        <sz val="13.5"/>
        <color theme="1"/>
        <rFont val="Aptos Narrow"/>
        <charset val="134"/>
        <scheme val="minor"/>
      </rPr>
      <t xml:space="preserve">✅ Example 8: Nested in </t>
    </r>
    <r>
      <rPr>
        <b/>
        <sz val="10"/>
        <color theme="1"/>
        <rFont val="Arial Unicode MS"/>
        <charset val="134"/>
      </rPr>
      <t>TEXT</t>
    </r>
    <r>
      <rPr>
        <b/>
        <sz val="13.5"/>
        <color theme="1"/>
        <rFont val="Aptos Narrow"/>
        <charset val="134"/>
        <scheme val="minor"/>
      </rPr>
      <t xml:space="preserve"> → </t>
    </r>
    <r>
      <rPr>
        <b/>
        <sz val="10"/>
        <color theme="1"/>
        <rFont val="Arial Unicode MS"/>
        <charset val="134"/>
      </rPr>
      <t>VALUE</t>
    </r>
  </si>
  <si>
    <t>🔹 Output: Today's date as serial number</t>
  </si>
  <si>
    <t>✅ Example 9: Prevent Errors from Text Inputs</t>
  </si>
  <si>
    <t>🔹 Output: Converts or returns "Invalid" for wrong input</t>
  </si>
  <si>
    <t>✅ Example 10: Use in Data Cleaning</t>
  </si>
  <si>
    <t>Convert values imported from text-based sources like CSV files:</t>
  </si>
  <si>
    <t>🔹 Removes extra spaces and converts to number</t>
  </si>
  <si>
    <t>❗ Important Notes:</t>
  </si>
  <si>
    <r>
      <rPr>
        <sz val="11"/>
        <color theme="1"/>
        <rFont val="Aptos Narrow"/>
        <charset val="134"/>
        <scheme val="minor"/>
      </rPr>
      <t xml:space="preserve">If the text </t>
    </r>
    <r>
      <rPr>
        <b/>
        <sz val="11"/>
        <color theme="1"/>
        <rFont val="Aptos Narrow"/>
        <charset val="134"/>
        <scheme val="minor"/>
      </rPr>
      <t>cannot be interpreted as a number</t>
    </r>
    <r>
      <rPr>
        <sz val="11"/>
        <color theme="1"/>
        <rFont val="Aptos Narrow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VALUE()</t>
    </r>
    <r>
      <rPr>
        <sz val="11"/>
        <color theme="1"/>
        <rFont val="Aptos Narrow"/>
        <charset val="134"/>
        <scheme val="minor"/>
      </rPr>
      <t xml:space="preserve"> returns a </t>
    </r>
    <r>
      <rPr>
        <b/>
        <sz val="11"/>
        <color theme="1"/>
        <rFont val="Aptos Narrow"/>
        <charset val="134"/>
        <scheme val="minor"/>
      </rPr>
      <t>#VALUE! error</t>
    </r>
  </si>
  <si>
    <r>
      <rPr>
        <sz val="11"/>
        <color theme="1"/>
        <rFont val="Aptos Narrow"/>
        <charset val="134"/>
        <scheme val="minor"/>
      </rPr>
      <t xml:space="preserve">In </t>
    </r>
    <r>
      <rPr>
        <b/>
        <sz val="11"/>
        <color theme="1"/>
        <rFont val="Aptos Narrow"/>
        <charset val="134"/>
        <scheme val="minor"/>
      </rPr>
      <t>modern Excel</t>
    </r>
    <r>
      <rPr>
        <sz val="11"/>
        <color theme="1"/>
        <rFont val="Aptos Narrow"/>
        <charset val="134"/>
        <scheme val="minor"/>
      </rPr>
      <t xml:space="preserve">, direct math like </t>
    </r>
    <r>
      <rPr>
        <sz val="10"/>
        <color theme="1"/>
        <rFont val="Arial Unicode MS"/>
        <charset val="134"/>
      </rPr>
      <t>="100"+50</t>
    </r>
    <r>
      <rPr>
        <sz val="11"/>
        <color theme="1"/>
        <rFont val="Aptos Narrow"/>
        <charset val="134"/>
        <scheme val="minor"/>
      </rPr>
      <t xml:space="preserve"> automatically converts. But </t>
    </r>
    <r>
      <rPr>
        <sz val="10"/>
        <color theme="1"/>
        <rFont val="Arial Unicode MS"/>
        <charset val="134"/>
      </rPr>
      <t>VALUE()</t>
    </r>
    <r>
      <rPr>
        <sz val="11"/>
        <color theme="1"/>
        <rFont val="Aptos Narrow"/>
        <charset val="134"/>
        <scheme val="minor"/>
      </rPr>
      <t xml:space="preserve"> is useful for </t>
    </r>
    <r>
      <rPr>
        <b/>
        <sz val="11"/>
        <color theme="1"/>
        <rFont val="Aptos Narrow"/>
        <charset val="134"/>
        <scheme val="minor"/>
      </rPr>
      <t>older files or clarity</t>
    </r>
  </si>
  <si>
    <t>Use Case</t>
  </si>
  <si>
    <t>Convert "123" to number</t>
  </si>
  <si>
    <t>Convert text date</t>
  </si>
  <si>
    <t>Convert time</t>
  </si>
  <si>
    <t>Use in IF</t>
  </si>
  <si>
    <t>Pass</t>
  </si>
  <si>
    <t>Use in SUM</t>
  </si>
  <si>
    <t>UNICODE Function In Excel</t>
  </si>
  <si>
    <t>ASCII American Standard Code For Information Interchange</t>
  </si>
  <si>
    <t>Returns the number (code point) corresponding to the first character of the text</t>
  </si>
  <si>
    <t>UNICODE Universal Coded Characters</t>
  </si>
  <si>
    <t xml:space="preserve">Character </t>
  </si>
  <si>
    <t>Number (Code Point)</t>
  </si>
  <si>
    <t>Code Function</t>
  </si>
  <si>
    <t>J</t>
  </si>
  <si>
    <t>(</t>
  </si>
  <si>
    <t>1 Go to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</si>
  <si>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0"/>
        <color theme="1"/>
        <rFont val="Arial Unicode MS"/>
        <charset val="134"/>
      </rPr>
      <t>UNICODE</t>
    </r>
    <r>
      <rPr>
        <sz val="11"/>
        <color theme="1"/>
        <rFont val="Aptos Narrow"/>
        <charset val="134"/>
        <scheme val="minor"/>
      </rPr>
      <t xml:space="preserve"> function in Excel is used to return the </t>
    </r>
    <r>
      <rPr>
        <b/>
        <sz val="11"/>
        <color theme="1"/>
        <rFont val="Aptos Narrow"/>
        <charset val="134"/>
        <scheme val="minor"/>
      </rPr>
      <t>numeric Unicode code point</t>
    </r>
    <r>
      <rPr>
        <sz val="11"/>
        <color theme="1"/>
        <rFont val="Aptos Narrow"/>
        <charset val="134"/>
        <scheme val="minor"/>
      </rPr>
      <t xml:space="preserve"> of the </t>
    </r>
    <r>
      <rPr>
        <b/>
        <sz val="11"/>
        <color theme="1"/>
        <rFont val="Aptos Narrow"/>
        <charset val="134"/>
        <scheme val="minor"/>
      </rPr>
      <t>first character</t>
    </r>
    <r>
      <rPr>
        <sz val="11"/>
        <color theme="1"/>
        <rFont val="Aptos Narrow"/>
        <charset val="134"/>
        <scheme val="minor"/>
      </rPr>
      <t xml:space="preserve"> in a text string.</t>
    </r>
  </si>
  <si>
    <r>
      <rPr>
        <sz val="11"/>
        <color theme="1"/>
        <rFont val="Aptos Narrow"/>
        <charset val="134"/>
        <scheme val="minor"/>
      </rPr>
      <t xml:space="preserve">It is the </t>
    </r>
    <r>
      <rPr>
        <b/>
        <sz val="11"/>
        <color theme="1"/>
        <rFont val="Aptos Narrow"/>
        <charset val="134"/>
        <scheme val="minor"/>
      </rPr>
      <t xml:space="preserve">reverse of the </t>
    </r>
    <r>
      <rPr>
        <b/>
        <sz val="10"/>
        <color theme="1"/>
        <rFont val="Arial Unicode MS"/>
        <charset val="134"/>
      </rPr>
      <t>UNICHAR</t>
    </r>
    <r>
      <rPr>
        <b/>
        <sz val="11"/>
        <color theme="1"/>
        <rFont val="Aptos Narrow"/>
        <charset val="134"/>
        <scheme val="minor"/>
      </rPr>
      <t xml:space="preserve"> function</t>
    </r>
    <r>
      <rPr>
        <sz val="11"/>
        <color theme="1"/>
        <rFont val="Aptos Narrow"/>
        <charset val="134"/>
        <scheme val="minor"/>
      </rPr>
      <t>, which converts a Unicode number into its corresponding character.</t>
    </r>
  </si>
  <si>
    <r>
      <rPr>
        <b/>
        <sz val="11"/>
        <color theme="1"/>
        <rFont val="Aptos Narrow"/>
        <charset val="134"/>
        <scheme val="minor"/>
      </rPr>
      <t>Returns</t>
    </r>
    <r>
      <rPr>
        <sz val="11"/>
        <color theme="1"/>
        <rFont val="Aptos Narrow"/>
        <charset val="134"/>
        <scheme val="minor"/>
      </rPr>
      <t xml:space="preserve"> the Unicode code of the first character in the given string.</t>
    </r>
  </si>
  <si>
    <r>
      <rPr>
        <sz val="11"/>
        <color theme="1"/>
        <rFont val="Aptos Narrow"/>
        <charset val="134"/>
        <scheme val="minor"/>
      </rPr>
      <t xml:space="preserve">Available in </t>
    </r>
    <r>
      <rPr>
        <b/>
        <sz val="11"/>
        <color theme="1"/>
        <rFont val="Aptos Narrow"/>
        <charset val="134"/>
        <scheme val="minor"/>
      </rPr>
      <t>Excel 2013 and later</t>
    </r>
    <r>
      <rPr>
        <sz val="11"/>
        <color theme="1"/>
        <rFont val="Aptos Narrow"/>
        <charset val="134"/>
        <scheme val="minor"/>
      </rPr>
      <t>.</t>
    </r>
  </si>
  <si>
    <t>🔹 Syntax Explanation</t>
  </si>
  <si>
    <t>text</t>
  </si>
  <si>
    <r>
      <rPr>
        <sz val="11"/>
        <color theme="1"/>
        <rFont val="Aptos Narrow"/>
        <charset val="134"/>
        <scheme val="minor"/>
      </rPr>
      <t xml:space="preserve">The string or character you want the Unicode number for. Only the </t>
    </r>
    <r>
      <rPr>
        <b/>
        <sz val="11"/>
        <color theme="1"/>
        <rFont val="Aptos Narrow"/>
        <charset val="134"/>
        <scheme val="minor"/>
      </rPr>
      <t>first character</t>
    </r>
    <r>
      <rPr>
        <sz val="11"/>
        <color theme="1"/>
        <rFont val="Aptos Narrow"/>
        <charset val="134"/>
        <scheme val="minor"/>
      </rPr>
      <t xml:space="preserve"> is considered.</t>
    </r>
  </si>
  <si>
    <t>✅ Key Features of UNICODE Function</t>
  </si>
  <si>
    <t>✅ Converts characters (letters, emojis, symbols) into Unicode code points</t>
  </si>
  <si>
    <t>✅ Supports all characters, including emojis, non-English letters, and special symbols</t>
  </si>
  <si>
    <r>
      <rPr>
        <sz val="11"/>
        <color theme="1"/>
        <rFont val="Aptos Narrow"/>
        <charset val="134"/>
        <scheme val="minor"/>
      </rPr>
      <t xml:space="preserve">✅ Used in reverse with </t>
    </r>
    <r>
      <rPr>
        <sz val="10"/>
        <color theme="1"/>
        <rFont val="Arial Unicode MS"/>
        <charset val="134"/>
      </rPr>
      <t>UNICHAR</t>
    </r>
  </si>
  <si>
    <t>✅ Useful in sorting, filtering, data validation, and encoding</t>
  </si>
  <si>
    <t>✅ Helps in detecting invisible or special characters</t>
  </si>
  <si>
    <t>📌 Example 1: Get Unicode for a Letter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</si>
  <si>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65</t>
    </r>
  </si>
  <si>
    <t>📌 Example 2: Unicode of Small Letter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</si>
  <si>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97</t>
    </r>
  </si>
  <si>
    <t>📌 Example 3: Unicode for a Digit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</si>
  <si>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53</t>
    </r>
  </si>
  <si>
    <t>📌 Example 4: Unicode for Emoji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</si>
  <si>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128512</t>
    </r>
  </si>
  <si>
    <t>📌 Example 5: Unicode for Special Symbol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</si>
  <si>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8364</t>
    </r>
  </si>
  <si>
    <t>📌 Example 6: Unicode for Arrow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</si>
  <si>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8594</t>
    </r>
  </si>
  <si>
    <t>📌 Example 7: Unicode for Check Mark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</si>
  <si>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10003</t>
    </r>
  </si>
  <si>
    <t>📌 Example 8: Get Unicode from Cell</t>
  </si>
  <si>
    <r>
      <rPr>
        <sz val="11"/>
        <color theme="1"/>
        <rFont val="Aptos Narrow"/>
        <charset val="134"/>
        <scheme val="minor"/>
      </rPr>
      <t xml:space="preserve">If A1 contains </t>
    </r>
    <r>
      <rPr>
        <sz val="10"/>
        <color theme="1"/>
        <rFont val="Arial Unicode MS"/>
        <charset val="134"/>
      </rPr>
      <t>"©"</t>
    </r>
    <r>
      <rPr>
        <sz val="11"/>
        <color theme="1"/>
        <rFont val="Aptos Narrow"/>
        <charset val="134"/>
        <scheme val="minor"/>
      </rPr>
      <t xml:space="preserve"> → returns </t>
    </r>
    <r>
      <rPr>
        <sz val="10"/>
        <color theme="1"/>
        <rFont val="Arial Unicode MS"/>
        <charset val="134"/>
      </rPr>
      <t>169</t>
    </r>
  </si>
  <si>
    <t>📌 Example 9: Use in Validation (Check for Specific Character)</t>
  </si>
  <si>
    <r>
      <rPr>
        <sz val="11"/>
        <color theme="1"/>
        <rFont val="Aptos Narrow"/>
        <charset val="134"/>
        <scheme val="minor"/>
      </rPr>
      <t xml:space="preserve">Marks </t>
    </r>
    <r>
      <rPr>
        <sz val="10"/>
        <color theme="1"/>
        <rFont val="Arial Unicode MS"/>
        <charset val="134"/>
      </rPr>
      <t>✘</t>
    </r>
    <r>
      <rPr>
        <sz val="11"/>
        <color theme="1"/>
        <rFont val="Aptos Narrow"/>
        <charset val="134"/>
        <scheme val="minor"/>
      </rPr>
      <t xml:space="preserve"> as Invalid.</t>
    </r>
  </si>
  <si>
    <t>📌 Example 10: Get Unicode from Text String</t>
  </si>
  <si>
    <r>
      <rPr>
        <sz val="11"/>
        <color theme="1"/>
        <rFont val="Aptos Narrow"/>
        <charset val="134"/>
        <scheme val="minor"/>
      </rPr>
      <t xml:space="preserve">✅ Returns: </t>
    </r>
    <r>
      <rPr>
        <sz val="10"/>
        <color theme="1"/>
        <rFont val="Arial Unicode MS"/>
        <charset val="134"/>
      </rPr>
      <t>69</t>
    </r>
    <r>
      <rPr>
        <sz val="11"/>
        <color theme="1"/>
        <rFont val="Aptos Narrow"/>
        <charset val="134"/>
        <scheme val="minor"/>
      </rPr>
      <t xml:space="preserve"> (for "E", first character)</t>
    </r>
  </si>
  <si>
    <t>🔁 UNICODE vs UNICHAR</t>
  </si>
  <si>
    <t>Purpose</t>
  </si>
  <si>
    <t>Example</t>
  </si>
  <si>
    <t>UNICODE</t>
  </si>
  <si>
    <t>Returns code of first character</t>
  </si>
  <si>
    <t>=UNICODE("A") → 65</t>
  </si>
  <si>
    <t>UNICHAR</t>
  </si>
  <si>
    <t>Returns character from code point</t>
  </si>
  <si>
    <t>=UNICHAR(65) → A</t>
  </si>
  <si>
    <t>Returns Unicode code?</t>
  </si>
  <si>
    <t>Works with emojis &amp; symbols?</t>
  </si>
  <si>
    <t>✅ Yes (A ≠ a)</t>
  </si>
  <si>
    <t>Reverse function</t>
  </si>
  <si>
    <t>UNICHAR()</t>
  </si>
  <si>
    <t>Returns 1st character only?</t>
  </si>
  <si>
    <t>Use for character validation</t>
  </si>
  <si>
    <r>
      <rPr>
        <sz val="11"/>
        <color theme="1"/>
        <rFont val="Aptos Narrow"/>
        <charset val="134"/>
        <scheme val="minor"/>
      </rPr>
      <t xml:space="preserve">Would you like an Excel practice file with </t>
    </r>
    <r>
      <rPr>
        <b/>
        <sz val="11"/>
        <color theme="1"/>
        <rFont val="Aptos Narrow"/>
        <charset val="134"/>
        <scheme val="minor"/>
      </rPr>
      <t>20 UNICODE examples</t>
    </r>
    <r>
      <rPr>
        <sz val="11"/>
        <color theme="1"/>
        <rFont val="Aptos Narrow"/>
        <charset val="134"/>
        <scheme val="minor"/>
      </rPr>
      <t xml:space="preserve">, just like the one we created for </t>
    </r>
    <r>
      <rPr>
        <sz val="10"/>
        <color theme="1"/>
        <rFont val="Arial Unicode MS"/>
        <charset val="134"/>
      </rPr>
      <t>UNICHAR</t>
    </r>
    <r>
      <rPr>
        <sz val="11"/>
        <color theme="1"/>
        <rFont val="Aptos Narrow"/>
        <charset val="134"/>
        <scheme val="minor"/>
      </rPr>
      <t>?</t>
    </r>
  </si>
  <si>
    <t>Unichar Function In Excel</t>
  </si>
  <si>
    <t>Character</t>
  </si>
  <si>
    <r>
      <rPr>
        <sz val="11"/>
        <color theme="1"/>
        <rFont val="Aptos Narrow"/>
        <charset val="134"/>
        <scheme val="minor"/>
      </rPr>
      <t xml:space="preserve">There is </t>
    </r>
    <r>
      <rPr>
        <b/>
        <sz val="11"/>
        <color theme="1"/>
        <rFont val="Aptos Narrow"/>
        <charset val="134"/>
        <scheme val="minor"/>
      </rPr>
      <t xml:space="preserve">no function called </t>
    </r>
    <r>
      <rPr>
        <b/>
        <sz val="10"/>
        <color theme="1"/>
        <rFont val="Arial Unicode MS"/>
        <charset val="134"/>
      </rPr>
      <t>UNIXHAR</t>
    </r>
    <r>
      <rPr>
        <sz val="11"/>
        <color theme="1"/>
        <rFont val="Aptos Narrow"/>
        <charset val="134"/>
        <scheme val="minor"/>
      </rPr>
      <t xml:space="preserve"> in Excel.</t>
    </r>
  </si>
  <si>
    <t>✅ You may be referring to:</t>
  </si>
  <si>
    <r>
      <rPr>
        <b/>
        <sz val="13.5"/>
        <color theme="1"/>
        <rFont val="Aptos Narrow"/>
        <charset val="134"/>
        <scheme val="minor"/>
      </rPr>
      <t xml:space="preserve">🔹 1. </t>
    </r>
    <r>
      <rPr>
        <b/>
        <sz val="10"/>
        <color theme="1"/>
        <rFont val="Arial Unicode MS"/>
        <charset val="134"/>
      </rPr>
      <t>UNICHAR</t>
    </r>
    <r>
      <rPr>
        <b/>
        <sz val="13.5"/>
        <color theme="1"/>
        <rFont val="Aptos Narrow"/>
        <charset val="134"/>
        <scheme val="minor"/>
      </rPr>
      <t xml:space="preserve"> function</t>
    </r>
  </si>
  <si>
    <t>OR</t>
  </si>
  <si>
    <r>
      <rPr>
        <b/>
        <sz val="13.5"/>
        <color theme="1"/>
        <rFont val="Aptos Narrow"/>
        <charset val="134"/>
        <scheme val="minor"/>
      </rPr>
      <t xml:space="preserve">🔹 2. </t>
    </r>
    <r>
      <rPr>
        <b/>
        <sz val="10"/>
        <color theme="1"/>
        <rFont val="Arial Unicode MS"/>
        <charset val="134"/>
      </rPr>
      <t>UNIX_TIMESTAMP</t>
    </r>
    <r>
      <rPr>
        <b/>
        <sz val="13.5"/>
        <color theme="1"/>
        <rFont val="Aptos Narrow"/>
        <charset val="134"/>
        <scheme val="minor"/>
      </rPr>
      <t xml:space="preserve"> (commonly used in databases, not Excel)</t>
    </r>
  </si>
  <si>
    <t>Let me explain both so you can confirm what you're looking for.</t>
  </si>
  <si>
    <r>
      <rPr>
        <b/>
        <sz val="18"/>
        <color theme="1"/>
        <rFont val="Aptos Narrow"/>
        <charset val="134"/>
        <scheme val="minor"/>
      </rPr>
      <t xml:space="preserve"> ✅ 1. </t>
    </r>
    <r>
      <rPr>
        <b/>
        <sz val="10"/>
        <color theme="1"/>
        <rFont val="Arial Unicode MS"/>
        <charset val="134"/>
      </rPr>
      <t>UNICHAR</t>
    </r>
    <r>
      <rPr>
        <b/>
        <sz val="18"/>
        <color theme="1"/>
        <rFont val="Aptos Narrow"/>
        <charset val="134"/>
        <scheme val="minor"/>
      </rPr>
      <t xml:space="preserve"> Function in Excel</t>
    </r>
  </si>
  <si>
    <r>
      <rPr>
        <sz val="10"/>
        <color theme="1"/>
        <rFont val="Arial Unicode MS"/>
        <charset val="134"/>
      </rPr>
      <t>UNICHAR</t>
    </r>
    <r>
      <rPr>
        <sz val="11"/>
        <color theme="1"/>
        <rFont val="Aptos Narrow"/>
        <charset val="134"/>
        <scheme val="minor"/>
      </rPr>
      <t xml:space="preserve"> returns the </t>
    </r>
    <r>
      <rPr>
        <b/>
        <sz val="11"/>
        <color theme="1"/>
        <rFont val="Aptos Narrow"/>
        <charset val="134"/>
        <scheme val="minor"/>
      </rPr>
      <t>Unicode character</t>
    </r>
    <r>
      <rPr>
        <sz val="11"/>
        <color theme="1"/>
        <rFont val="Aptos Narrow"/>
        <charset val="134"/>
        <scheme val="minor"/>
      </rPr>
      <t xml:space="preserve"> based on a given number (code point).</t>
    </r>
  </si>
  <si>
    <t>🔸 Parameter:</t>
  </si>
  <si>
    <r>
      <rPr>
        <sz val="10"/>
        <color theme="1"/>
        <rFont val="Arial Unicode MS"/>
        <charset val="134"/>
      </rPr>
      <t>number</t>
    </r>
    <r>
      <rPr>
        <sz val="11"/>
        <color theme="1"/>
        <rFont val="Aptos Narrow"/>
        <charset val="134"/>
        <scheme val="minor"/>
      </rPr>
      <t xml:space="preserve"> – The Unicode code point (a number between 1 and 1114111).</t>
    </r>
  </si>
  <si>
    <r>
      <rPr>
        <b/>
        <sz val="13.5"/>
        <color theme="1"/>
        <rFont val="Aptos Narrow"/>
        <charset val="134"/>
        <scheme val="minor"/>
      </rPr>
      <t xml:space="preserve">⭐ Features of </t>
    </r>
    <r>
      <rPr>
        <b/>
        <sz val="10"/>
        <color theme="1"/>
        <rFont val="Arial Unicode MS"/>
        <charset val="134"/>
      </rPr>
      <t>UNICHAR</t>
    </r>
    <r>
      <rPr>
        <b/>
        <sz val="13.5"/>
        <color theme="1"/>
        <rFont val="Aptos Narrow"/>
        <charset val="134"/>
        <scheme val="minor"/>
      </rPr>
      <t>:</t>
    </r>
  </si>
  <si>
    <t>✅ Converts number to Unicode symbol</t>
  </si>
  <si>
    <t>✅ Useful in inserting symbols, emojis, arrows, etc.</t>
  </si>
  <si>
    <r>
      <rPr>
        <sz val="11"/>
        <color theme="1"/>
        <rFont val="Aptos Narrow"/>
        <charset val="134"/>
        <scheme val="minor"/>
      </rPr>
      <t xml:space="preserve">✅ Works with </t>
    </r>
    <r>
      <rPr>
        <sz val="10"/>
        <color theme="1"/>
        <rFont val="Arial Unicode MS"/>
        <charset val="134"/>
      </rPr>
      <t>UNICODE()</t>
    </r>
    <r>
      <rPr>
        <sz val="11"/>
        <color theme="1"/>
        <rFont val="Aptos Narrow"/>
        <charset val="134"/>
        <scheme val="minor"/>
      </rPr>
      <t xml:space="preserve"> to reverse</t>
    </r>
  </si>
  <si>
    <t>✅ Works with formatting, dashboards, visual indicators</t>
  </si>
  <si>
    <t>📚 Examples:</t>
  </si>
  <si>
    <t>✅ Example 1: Basic Unicode Character</t>
  </si>
  <si>
    <r>
      <rPr>
        <b/>
        <sz val="11"/>
        <color theme="1"/>
        <rFont val="Aptos Narrow"/>
        <charset val="134"/>
        <scheme val="minor"/>
      </rPr>
      <t>Result:</t>
    </r>
    <r>
      <rPr>
        <sz val="11"/>
        <color theme="1"/>
        <rFont val="Aptos Narrow"/>
        <charset val="134"/>
        <scheme val="minor"/>
      </rPr>
      <t xml:space="preserve"> </t>
    </r>
    <r>
      <rPr>
        <sz val="10"/>
        <color theme="1"/>
        <rFont val="Arial Unicode MS"/>
        <charset val="134"/>
      </rPr>
      <t>A</t>
    </r>
    <r>
      <rPr>
        <sz val="11"/>
        <color theme="1"/>
        <rFont val="Aptos Narrow"/>
        <charset val="134"/>
        <scheme val="minor"/>
      </rPr>
      <t xml:space="preserve"> (Unicode 65 = Capital A)</t>
    </r>
  </si>
  <si>
    <t>✅ Example 2: Unicode Emoji</t>
  </si>
  <si>
    <r>
      <rPr>
        <b/>
        <sz val="11"/>
        <color theme="1"/>
        <rFont val="Aptos Narrow"/>
        <charset val="134"/>
        <scheme val="minor"/>
      </rPr>
      <t>Result:</t>
    </r>
    <r>
      <rPr>
        <sz val="11"/>
        <color theme="1"/>
        <rFont val="Aptos Narrow"/>
        <charset val="134"/>
        <scheme val="minor"/>
      </rPr>
      <t xml:space="preserve"> 😀 (Smiley Face)</t>
    </r>
  </si>
  <si>
    <t>✅ Example 3: Arrow Symbols</t>
  </si>
  <si>
    <r>
      <rPr>
        <b/>
        <sz val="11"/>
        <color theme="1"/>
        <rFont val="Aptos Narrow"/>
        <charset val="134"/>
        <scheme val="minor"/>
      </rPr>
      <t>Result:</t>
    </r>
    <r>
      <rPr>
        <sz val="11"/>
        <color theme="1"/>
        <rFont val="Aptos Narrow"/>
        <charset val="134"/>
        <scheme val="minor"/>
      </rPr>
      <t xml:space="preserve"> → (Right arrow)</t>
    </r>
  </si>
  <si>
    <t>✅ Example 4: Thumbs Up Symbol</t>
  </si>
  <si>
    <r>
      <rPr>
        <b/>
        <sz val="11"/>
        <color theme="1"/>
        <rFont val="Aptos Narrow"/>
        <charset val="134"/>
        <scheme val="minor"/>
      </rPr>
      <t>Result:</t>
    </r>
    <r>
      <rPr>
        <sz val="11"/>
        <color theme="1"/>
        <rFont val="Aptos Narrow"/>
        <charset val="134"/>
        <scheme val="minor"/>
      </rPr>
      <t xml:space="preserve"> 👍</t>
    </r>
  </si>
  <si>
    <t>✅ Example 5: Use with IF for Icon Feedback</t>
  </si>
  <si>
    <r>
      <rPr>
        <b/>
        <sz val="11"/>
        <color theme="1"/>
        <rFont val="Aptos Narrow"/>
        <charset val="134"/>
        <scheme val="minor"/>
      </rPr>
      <t>Result:</t>
    </r>
    <r>
      <rPr>
        <sz val="11"/>
        <color theme="1"/>
        <rFont val="Aptos Narrow"/>
        <charset val="134"/>
        <scheme val="minor"/>
      </rPr>
      <t xml:space="preserve"> 👍 if A1 &gt; 70, else 👎</t>
    </r>
  </si>
  <si>
    <t>✅ Example 6: Combine with Text</t>
  </si>
  <si>
    <r>
      <rPr>
        <b/>
        <sz val="11"/>
        <color theme="1"/>
        <rFont val="Aptos Narrow"/>
        <charset val="134"/>
        <scheme val="minor"/>
      </rPr>
      <t>Result:</t>
    </r>
    <r>
      <rPr>
        <sz val="11"/>
        <color theme="1"/>
        <rFont val="Aptos Narrow"/>
        <charset val="134"/>
        <scheme val="minor"/>
      </rPr>
      <t xml:space="preserve"> </t>
    </r>
    <r>
      <rPr>
        <sz val="10"/>
        <color theme="1"/>
        <rFont val="Arial Unicode MS"/>
        <charset val="134"/>
      </rPr>
      <t>Status: ✅</t>
    </r>
  </si>
  <si>
    <t>✅ Example 7: Unicode Table Using Formula</t>
  </si>
  <si>
    <r>
      <rPr>
        <b/>
        <sz val="11"/>
        <color theme="1"/>
        <rFont val="Aptos Narrow"/>
        <charset val="134"/>
        <scheme val="minor"/>
      </rPr>
      <t>Result:</t>
    </r>
    <r>
      <rPr>
        <sz val="11"/>
        <color theme="1"/>
        <rFont val="Aptos Narrow"/>
        <charset val="134"/>
        <scheme val="minor"/>
      </rPr>
      <t xml:space="preserve"> Generates A-Z when dragged from row 1 to 26</t>
    </r>
  </si>
  <si>
    <t>🔁 Related Function:</t>
  </si>
  <si>
    <r>
      <rPr>
        <sz val="10"/>
        <color theme="1"/>
        <rFont val="Arial Unicode MS"/>
        <charset val="134"/>
      </rPr>
      <t>=UNICODE(text)</t>
    </r>
    <r>
      <rPr>
        <sz val="11"/>
        <color theme="1"/>
        <rFont val="Aptos Narrow"/>
        <charset val="134"/>
        <scheme val="minor"/>
      </rPr>
      <t xml:space="preserve"> – Returns the Unicode code number for the first character in a text string.</t>
    </r>
  </si>
  <si>
    <r>
      <rPr>
        <b/>
        <sz val="18"/>
        <color theme="1"/>
        <rFont val="Aptos Narrow"/>
        <charset val="134"/>
        <scheme val="minor"/>
      </rPr>
      <t xml:space="preserve">❌ 2. </t>
    </r>
    <r>
      <rPr>
        <b/>
        <sz val="10"/>
        <color theme="1"/>
        <rFont val="Arial Unicode MS"/>
        <charset val="134"/>
      </rPr>
      <t>UNIXHAR</t>
    </r>
    <r>
      <rPr>
        <b/>
        <sz val="18"/>
        <color theme="1"/>
        <rFont val="Aptos Narrow"/>
        <charset val="134"/>
        <scheme val="minor"/>
      </rPr>
      <t xml:space="preserve"> Mistake?</t>
    </r>
  </si>
  <si>
    <t>If you meant:</t>
  </si>
  <si>
    <t>❓ UNIX Timestamp in Excel</t>
  </si>
  <si>
    <r>
      <rPr>
        <sz val="11"/>
        <color theme="1"/>
        <rFont val="Aptos Narrow"/>
        <charset val="134"/>
        <scheme val="minor"/>
      </rPr>
      <t xml:space="preserve">There is </t>
    </r>
    <r>
      <rPr>
        <b/>
        <sz val="11"/>
        <color theme="1"/>
        <rFont val="Aptos Narrow"/>
        <charset val="134"/>
        <scheme val="minor"/>
      </rPr>
      <t>no direct Excel function</t>
    </r>
    <r>
      <rPr>
        <sz val="11"/>
        <color theme="1"/>
        <rFont val="Aptos Narrow"/>
        <charset val="134"/>
        <scheme val="minor"/>
      </rPr>
      <t xml:space="preserve"> like </t>
    </r>
    <r>
      <rPr>
        <sz val="10"/>
        <color theme="1"/>
        <rFont val="Arial Unicode MS"/>
        <charset val="134"/>
      </rPr>
      <t>UNIXHAR</t>
    </r>
    <r>
      <rPr>
        <sz val="11"/>
        <color theme="1"/>
        <rFont val="Aptos Narrow"/>
        <charset val="134"/>
        <scheme val="minor"/>
      </rPr>
      <t xml:space="preserve"> or </t>
    </r>
    <r>
      <rPr>
        <sz val="10"/>
        <color theme="1"/>
        <rFont val="Arial Unicode MS"/>
        <charset val="134"/>
      </rPr>
      <t>UNIX_TIMESTAMP</t>
    </r>
    <r>
      <rPr>
        <sz val="11"/>
        <color theme="1"/>
        <rFont val="Aptos Narrow"/>
        <charset val="134"/>
        <scheme val="minor"/>
      </rPr>
      <t xml:space="preserve">, but we can </t>
    </r>
    <r>
      <rPr>
        <b/>
        <sz val="11"/>
        <color theme="1"/>
        <rFont val="Aptos Narrow"/>
        <charset val="134"/>
        <scheme val="minor"/>
      </rPr>
      <t>convert timestamps</t>
    </r>
    <r>
      <rPr>
        <sz val="11"/>
        <color theme="1"/>
        <rFont val="Aptos Narrow"/>
        <charset val="134"/>
        <scheme val="minor"/>
      </rPr>
      <t xml:space="preserve"> using Excel formulas.</t>
    </r>
  </si>
  <si>
    <t>✅ Convert UNIX Timestamp to Excel Date:</t>
  </si>
  <si>
    <t>Assuming A1 = UNIX timestamp (e.g., 1694016000), result = Excel-readable date</t>
  </si>
  <si>
    <t>✅ Summary: UNICHAR Function</t>
  </si>
  <si>
    <t>Available</t>
  </si>
  <si>
    <t>Converts code to symbol</t>
  </si>
  <si>
    <t>✅</t>
  </si>
  <si>
    <t>Emoji/arrow/special chars</t>
  </si>
  <si>
    <t>Works in dashboards</t>
  </si>
  <si>
    <r>
      <rPr>
        <sz val="11"/>
        <color theme="1"/>
        <rFont val="Aptos Narrow"/>
        <charset val="134"/>
        <scheme val="minor"/>
      </rPr>
      <t xml:space="preserve">Works with </t>
    </r>
    <r>
      <rPr>
        <sz val="10"/>
        <color theme="1"/>
        <rFont val="Arial Unicode MS"/>
        <charset val="134"/>
      </rPr>
      <t>UNICODE()</t>
    </r>
  </si>
  <si>
    <t>Or Function in Excel</t>
  </si>
  <si>
    <t>Purple</t>
  </si>
  <si>
    <t>And Function in Excel</t>
  </si>
  <si>
    <t>RANK FUNCTION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</si>
  <si>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RANK formula</t>
    </r>
    <r>
      <rPr>
        <sz val="11"/>
        <color theme="1"/>
        <rFont val="Aptos Narrow"/>
        <charset val="134"/>
        <scheme val="minor"/>
      </rPr>
      <t xml:space="preserve"> in Excel is used to determine the </t>
    </r>
    <r>
      <rPr>
        <b/>
        <sz val="11"/>
        <color theme="1"/>
        <rFont val="Aptos Narrow"/>
        <charset val="134"/>
        <scheme val="minor"/>
      </rPr>
      <t>position (rank)</t>
    </r>
    <r>
      <rPr>
        <sz val="11"/>
        <color theme="1"/>
        <rFont val="Aptos Narrow"/>
        <charset val="134"/>
        <scheme val="minor"/>
      </rPr>
      <t xml:space="preserve"> of a number within a list of numbers.</t>
    </r>
  </si>
  <si>
    <t>Maths</t>
  </si>
  <si>
    <t>Science</t>
  </si>
  <si>
    <t>Rank</t>
  </si>
  <si>
    <t>It tells you whether the number is the largest, smallest, or somewhere in between.</t>
  </si>
  <si>
    <t>Dhanish</t>
  </si>
  <si>
    <t>Prashik</t>
  </si>
  <si>
    <t>=RANK(number, ref, [order])</t>
  </si>
  <si>
    <t>Kartik</t>
  </si>
  <si>
    <t>Kamlesh</t>
  </si>
  <si>
    <r>
      <rPr>
        <b/>
        <sz val="11"/>
        <color theme="1"/>
        <rFont val="Aptos Narrow"/>
        <charset val="134"/>
        <scheme val="minor"/>
      </rPr>
      <t>number</t>
    </r>
    <r>
      <rPr>
        <sz val="11"/>
        <color theme="1"/>
        <rFont val="Aptos Narrow"/>
        <charset val="134"/>
        <scheme val="minor"/>
      </rPr>
      <t xml:space="preserve"> → The value you want to find the rank of.</t>
    </r>
  </si>
  <si>
    <t>Minakshi</t>
  </si>
  <si>
    <t>Minal</t>
  </si>
  <si>
    <r>
      <rPr>
        <b/>
        <sz val="11"/>
        <color theme="1"/>
        <rFont val="Aptos Narrow"/>
        <charset val="134"/>
        <scheme val="minor"/>
      </rPr>
      <t>ref</t>
    </r>
    <r>
      <rPr>
        <sz val="11"/>
        <color theme="1"/>
        <rFont val="Aptos Narrow"/>
        <charset val="134"/>
        <scheme val="minor"/>
      </rPr>
      <t xml:space="preserve"> → The range of numbers to compare.</t>
    </r>
  </si>
  <si>
    <t>Punam</t>
  </si>
  <si>
    <t>Rohit</t>
  </si>
  <si>
    <r>
      <rPr>
        <b/>
        <sz val="11"/>
        <color theme="1"/>
        <rFont val="Aptos Narrow"/>
        <charset val="134"/>
        <scheme val="minor"/>
      </rPr>
      <t>order</t>
    </r>
    <r>
      <rPr>
        <sz val="11"/>
        <color theme="1"/>
        <rFont val="Aptos Narrow"/>
        <charset val="134"/>
        <scheme val="minor"/>
      </rPr>
      <t xml:space="preserve"> </t>
    </r>
    <r>
      <rPr>
        <i/>
        <sz val="11"/>
        <color theme="1"/>
        <rFont val="Aptos Narrow"/>
        <charset val="134"/>
        <scheme val="minor"/>
      </rPr>
      <t>(optional)</t>
    </r>
    <r>
      <rPr>
        <sz val="11"/>
        <color theme="1"/>
        <rFont val="Aptos Narrow"/>
        <charset val="134"/>
        <scheme val="minor"/>
      </rPr>
      <t xml:space="preserve"> →</t>
    </r>
  </si>
  <si>
    <t>Rohan</t>
  </si>
  <si>
    <t>Roshan</t>
  </si>
  <si>
    <t>Ram</t>
  </si>
  <si>
    <r>
      <rPr>
        <sz val="10"/>
        <color theme="1"/>
        <rFont val="Arial Unicode MS"/>
        <charset val="134"/>
      </rPr>
      <t>0</t>
    </r>
    <r>
      <rPr>
        <sz val="11"/>
        <color theme="1"/>
        <rFont val="Aptos Narrow"/>
        <charset val="134"/>
        <scheme val="minor"/>
      </rPr>
      <t xml:space="preserve"> or omitted → Ranks numbers in </t>
    </r>
    <r>
      <rPr>
        <b/>
        <sz val="11"/>
        <color theme="1"/>
        <rFont val="Aptos Narrow"/>
        <charset val="134"/>
        <scheme val="minor"/>
      </rPr>
      <t>descending</t>
    </r>
    <r>
      <rPr>
        <sz val="11"/>
        <color theme="1"/>
        <rFont val="Aptos Narrow"/>
        <charset val="134"/>
        <scheme val="minor"/>
      </rPr>
      <t xml:space="preserve"> order (largest = rank 1).</t>
    </r>
  </si>
  <si>
    <t>Ramesh</t>
  </si>
  <si>
    <t>Rutuj</t>
  </si>
  <si>
    <r>
      <rPr>
        <sz val="10"/>
        <color theme="1"/>
        <rFont val="Arial Unicode MS"/>
        <charset val="134"/>
      </rPr>
      <t>1</t>
    </r>
    <r>
      <rPr>
        <sz val="11"/>
        <color theme="1"/>
        <rFont val="Aptos Narrow"/>
        <charset val="134"/>
        <scheme val="minor"/>
      </rPr>
      <t xml:space="preserve"> → Ranks numbers in </t>
    </r>
    <r>
      <rPr>
        <b/>
        <sz val="11"/>
        <color theme="1"/>
        <rFont val="Aptos Narrow"/>
        <charset val="134"/>
        <scheme val="minor"/>
      </rPr>
      <t>ascending</t>
    </r>
    <r>
      <rPr>
        <sz val="11"/>
        <color theme="1"/>
        <rFont val="Aptos Narrow"/>
        <charset val="134"/>
        <scheme val="minor"/>
      </rPr>
      <t xml:space="preserve"> order (smallest = rank 1).</t>
    </r>
  </si>
  <si>
    <t>2. Types of RANK in Excel</t>
  </si>
  <si>
    <t>Excel has 3 related functions:</t>
  </si>
  <si>
    <r>
      <rPr>
        <b/>
        <sz val="11"/>
        <color theme="1"/>
        <rFont val="Aptos Narrow"/>
        <charset val="134"/>
        <scheme val="minor"/>
      </rPr>
      <t>1. RANK</t>
    </r>
    <r>
      <rPr>
        <sz val="11"/>
        <color theme="1"/>
        <rFont val="Aptos Narrow"/>
        <charset val="134"/>
        <scheme val="minor"/>
      </rPr>
      <t xml:space="preserve"> (old function, still works for compatibility).</t>
    </r>
  </si>
  <si>
    <r>
      <rPr>
        <b/>
        <sz val="11"/>
        <color theme="1"/>
        <rFont val="Aptos Narrow"/>
        <charset val="134"/>
        <scheme val="minor"/>
      </rPr>
      <t>2. RANK.EQ</t>
    </r>
    <r>
      <rPr>
        <sz val="11"/>
        <color theme="1"/>
        <rFont val="Aptos Narrow"/>
        <charset val="134"/>
        <scheme val="minor"/>
      </rPr>
      <t xml:space="preserve"> – Returns the rank of a number. If there are duplicates, they get the </t>
    </r>
    <r>
      <rPr>
        <b/>
        <sz val="11"/>
        <color theme="1"/>
        <rFont val="Aptos Narrow"/>
        <charset val="134"/>
        <scheme val="minor"/>
      </rPr>
      <t>same rank</t>
    </r>
    <r>
      <rPr>
        <sz val="11"/>
        <color theme="1"/>
        <rFont val="Aptos Narrow"/>
        <charset val="134"/>
        <scheme val="minor"/>
      </rPr>
      <t>.</t>
    </r>
  </si>
  <si>
    <r>
      <rPr>
        <b/>
        <sz val="11"/>
        <color theme="1"/>
        <rFont val="Aptos Narrow"/>
        <charset val="134"/>
        <scheme val="minor"/>
      </rPr>
      <t>3. RANK.AVG</t>
    </r>
    <r>
      <rPr>
        <sz val="11"/>
        <color theme="1"/>
        <rFont val="Aptos Narrow"/>
        <charset val="134"/>
        <scheme val="minor"/>
      </rPr>
      <t xml:space="preserve"> – Returns the rank of a number. If there are duplicates, it returns the </t>
    </r>
    <r>
      <rPr>
        <b/>
        <sz val="11"/>
        <color theme="1"/>
        <rFont val="Aptos Narrow"/>
        <charset val="134"/>
        <scheme val="minor"/>
      </rPr>
      <t>average rank</t>
    </r>
    <r>
      <rPr>
        <sz val="11"/>
        <color theme="1"/>
        <rFont val="Aptos Narrow"/>
        <charset val="134"/>
        <scheme val="minor"/>
      </rPr>
      <t>.</t>
    </r>
  </si>
  <si>
    <t>3. Features of RANK</t>
  </si>
  <si>
    <r>
      <rPr>
        <b/>
        <sz val="11"/>
        <color theme="1"/>
        <rFont val="Aptos Narrow"/>
        <charset val="134"/>
        <scheme val="minor"/>
      </rPr>
      <t>Finds position</t>
    </r>
    <r>
      <rPr>
        <sz val="11"/>
        <color theme="1"/>
        <rFont val="Aptos Narrow"/>
        <charset val="134"/>
        <scheme val="minor"/>
      </rPr>
      <t xml:space="preserve"> of a value in a list.</t>
    </r>
  </si>
  <si>
    <r>
      <rPr>
        <b/>
        <sz val="11"/>
        <color theme="1"/>
        <rFont val="Aptos Narrow"/>
        <charset val="134"/>
        <scheme val="minor"/>
      </rPr>
      <t>Works with both ascending and descending</t>
    </r>
    <r>
      <rPr>
        <sz val="11"/>
        <color theme="1"/>
        <rFont val="Aptos Narrow"/>
        <charset val="134"/>
        <scheme val="minor"/>
      </rPr>
      <t xml:space="preserve"> orders.</t>
    </r>
  </si>
  <si>
    <r>
      <rPr>
        <b/>
        <sz val="11"/>
        <color theme="1"/>
        <rFont val="Aptos Narrow"/>
        <charset val="134"/>
        <scheme val="minor"/>
      </rPr>
      <t>Handles duplicates</t>
    </r>
    <r>
      <rPr>
        <sz val="11"/>
        <color theme="1"/>
        <rFont val="Aptos Narrow"/>
        <charset val="134"/>
        <scheme val="minor"/>
      </rPr>
      <t xml:space="preserve"> using RANK.AVG or RANK.EQ.</t>
    </r>
  </si>
  <si>
    <r>
      <rPr>
        <b/>
        <sz val="11"/>
        <color theme="1"/>
        <rFont val="Aptos Narrow"/>
        <charset val="134"/>
        <scheme val="minor"/>
      </rPr>
      <t>Dynamic ranking</t>
    </r>
    <r>
      <rPr>
        <sz val="11"/>
        <color theme="1"/>
        <rFont val="Aptos Narrow"/>
        <charset val="134"/>
        <scheme val="minor"/>
      </rPr>
      <t xml:space="preserve"> – updates when values change.</t>
    </r>
  </si>
  <si>
    <r>
      <rPr>
        <b/>
        <sz val="11"/>
        <color theme="1"/>
        <rFont val="Aptos Narrow"/>
        <charset val="134"/>
        <scheme val="minor"/>
      </rPr>
      <t>Useful in sorting without rearranging</t>
    </r>
    <r>
      <rPr>
        <sz val="11"/>
        <color theme="1"/>
        <rFont val="Aptos Narrow"/>
        <charset val="134"/>
        <scheme val="minor"/>
      </rPr>
      <t xml:space="preserve"> the original data.</t>
    </r>
  </si>
  <si>
    <r>
      <rPr>
        <sz val="11"/>
        <color theme="1"/>
        <rFont val="Aptos Narrow"/>
        <charset val="134"/>
        <scheme val="minor"/>
      </rPr>
      <t xml:space="preserve">Can be combined with formulas like </t>
    </r>
    <r>
      <rPr>
        <b/>
        <sz val="11"/>
        <color theme="1"/>
        <rFont val="Aptos Narrow"/>
        <charset val="134"/>
        <scheme val="minor"/>
      </rPr>
      <t>IF, INDEX, MATCH</t>
    </r>
    <r>
      <rPr>
        <sz val="11"/>
        <color theme="1"/>
        <rFont val="Aptos Narrow"/>
        <charset val="134"/>
        <scheme val="minor"/>
      </rPr>
      <t xml:space="preserve"> for advanced ranking.</t>
    </r>
  </si>
  <si>
    <t>4. Examples</t>
  </si>
  <si>
    <t>Example 1 – Descending Order</t>
  </si>
  <si>
    <t>E</t>
  </si>
  <si>
    <t>Example 2 – Ascending Order</t>
  </si>
  <si>
    <t>If you want smallest number = rank 1:</t>
  </si>
  <si>
    <t>Example 3 – Handling Duplicates</t>
  </si>
  <si>
    <t>Marks: 90, 88, 88, 82, 78</t>
  </si>
  <si>
    <r>
      <rPr>
        <sz val="11"/>
        <color theme="1"/>
        <rFont val="Aptos Narrow"/>
        <charset val="134"/>
        <scheme val="minor"/>
      </rPr>
      <t xml:space="preserve">Using </t>
    </r>
    <r>
      <rPr>
        <b/>
        <sz val="11"/>
        <color theme="1"/>
        <rFont val="Aptos Narrow"/>
        <charset val="134"/>
        <scheme val="minor"/>
      </rPr>
      <t>RANK.EQ</t>
    </r>
    <r>
      <rPr>
        <sz val="11"/>
        <color theme="1"/>
        <rFont val="Aptos Narrow"/>
        <charset val="134"/>
        <scheme val="minor"/>
      </rPr>
      <t>, both 88’s get the same rank.</t>
    </r>
  </si>
  <si>
    <r>
      <rPr>
        <sz val="11"/>
        <color theme="1"/>
        <rFont val="Aptos Narrow"/>
        <charset val="134"/>
        <scheme val="minor"/>
      </rPr>
      <t xml:space="preserve">Using </t>
    </r>
    <r>
      <rPr>
        <b/>
        <sz val="11"/>
        <color theme="1"/>
        <rFont val="Aptos Narrow"/>
        <charset val="134"/>
        <scheme val="minor"/>
      </rPr>
      <t>RANK.AVG</t>
    </r>
    <r>
      <rPr>
        <sz val="11"/>
        <color theme="1"/>
        <rFont val="Aptos Narrow"/>
        <charset val="134"/>
        <scheme val="minor"/>
      </rPr>
      <t>, both 88’s get the average of their ranks.</t>
    </r>
  </si>
  <si>
    <t>5. Uses of RANK</t>
  </si>
  <si>
    <t>Ranking students by marks.</t>
  </si>
  <si>
    <t>Finding top performers in sales.</t>
  </si>
  <si>
    <t>Sports leaderboard rankings.</t>
  </si>
  <si>
    <t>Ranking companies by profit.</t>
  </si>
  <si>
    <t>Prioritizing tasks based on urgency level.</t>
  </si>
  <si>
    <t>Competition result analysis.</t>
  </si>
  <si>
    <r>
      <rPr>
        <sz val="11"/>
        <color theme="1"/>
        <rFont val="Aptos Narrow"/>
        <charset val="134"/>
        <scheme val="minor"/>
      </rPr>
      <t xml:space="preserve">Filtering </t>
    </r>
    <r>
      <rPr>
        <b/>
        <sz val="11"/>
        <color theme="1"/>
        <rFont val="Aptos Narrow"/>
        <charset val="134"/>
        <scheme val="minor"/>
      </rPr>
      <t>Top N</t>
    </r>
    <r>
      <rPr>
        <sz val="11"/>
        <color theme="1"/>
        <rFont val="Aptos Narrow"/>
        <charset val="134"/>
        <scheme val="minor"/>
      </rPr>
      <t xml:space="preserve"> values in dashboards.</t>
    </r>
  </si>
  <si>
    <r>
      <rPr>
        <sz val="11"/>
        <color theme="1"/>
        <rFont val="Aptos Narrow"/>
        <charset val="134"/>
        <scheme val="minor"/>
      </rPr>
      <t xml:space="preserve">If you want, I can also give you a </t>
    </r>
    <r>
      <rPr>
        <b/>
        <sz val="11"/>
        <color theme="1"/>
        <rFont val="Aptos Narrow"/>
        <charset val="134"/>
        <scheme val="minor"/>
      </rPr>
      <t>visual Excel sheet</t>
    </r>
    <r>
      <rPr>
        <sz val="11"/>
        <color theme="1"/>
        <rFont val="Aptos Narrow"/>
        <charset val="134"/>
        <scheme val="minor"/>
      </rPr>
      <t xml:space="preserve"> with examples showing RANK, RANK.EQ, and RANK.AVG together for easy learning.</t>
    </r>
  </si>
  <si>
    <t>Do you want me to prepare that for you?</t>
  </si>
  <si>
    <t>Name &amp; Number</t>
  </si>
  <si>
    <t>Only Number</t>
  </si>
  <si>
    <t>PHY</t>
  </si>
  <si>
    <t>CHE</t>
  </si>
  <si>
    <t>MATH</t>
  </si>
  <si>
    <t>AVERAGE</t>
  </si>
  <si>
    <t>Average With Iferror</t>
  </si>
  <si>
    <t>Umar All</t>
  </si>
  <si>
    <t>OM</t>
  </si>
  <si>
    <t>RAJ</t>
  </si>
  <si>
    <t>Jawed Akhtar</t>
  </si>
  <si>
    <t>AJAY</t>
  </si>
  <si>
    <t>ANIL</t>
  </si>
  <si>
    <t>ASHU</t>
  </si>
  <si>
    <t>Afser Khan</t>
  </si>
  <si>
    <t>Rajesh Kumar</t>
  </si>
  <si>
    <t>Amount</t>
  </si>
  <si>
    <t>Rate</t>
  </si>
  <si>
    <t>ROM</t>
  </si>
  <si>
    <t>Printer</t>
  </si>
  <si>
    <t>CD</t>
  </si>
  <si>
    <t>DVD</t>
  </si>
  <si>
    <t>Pen Drive</t>
  </si>
  <si>
    <t>Day With Now</t>
  </si>
  <si>
    <t>day With Month</t>
  </si>
  <si>
    <t>Year With Now</t>
  </si>
  <si>
    <t>PMT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</si>
  <si>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PMT formula</t>
    </r>
    <r>
      <rPr>
        <sz val="11"/>
        <color theme="1"/>
        <rFont val="Aptos Narrow"/>
        <charset val="134"/>
        <scheme val="minor"/>
      </rPr>
      <t xml:space="preserve"> in Excel is a </t>
    </r>
    <r>
      <rPr>
        <b/>
        <sz val="11"/>
        <color theme="1"/>
        <rFont val="Aptos Narrow"/>
        <charset val="134"/>
        <scheme val="minor"/>
      </rPr>
      <t>financial function</t>
    </r>
    <r>
      <rPr>
        <sz val="11"/>
        <color theme="1"/>
        <rFont val="Aptos Narrow"/>
        <charset val="134"/>
        <scheme val="minor"/>
      </rPr>
      <t xml:space="preserve"> used to calculate the fixed payment amount for a loan or investment based on constant interest rates and a fixed number of periods.</t>
    </r>
  </si>
  <si>
    <r>
      <rPr>
        <sz val="11"/>
        <color theme="1"/>
        <rFont val="Aptos Narrow"/>
        <charset val="134"/>
        <scheme val="minor"/>
      </rPr>
      <t xml:space="preserve">It’s very useful for </t>
    </r>
    <r>
      <rPr>
        <b/>
        <sz val="11"/>
        <color theme="1"/>
        <rFont val="Aptos Narrow"/>
        <charset val="134"/>
        <scheme val="minor"/>
      </rPr>
      <t>loan EMI calculation</t>
    </r>
    <r>
      <rPr>
        <sz val="11"/>
        <color theme="1"/>
        <rFont val="Aptos Narrow"/>
        <charset val="134"/>
        <scheme val="minor"/>
      </rPr>
      <t>, mortgage payments, or installment planning.</t>
    </r>
  </si>
  <si>
    <t>=PMT(rate, nper, pv, [fv], [type])</t>
  </si>
  <si>
    <r>
      <rPr>
        <b/>
        <sz val="11"/>
        <color theme="1"/>
        <rFont val="Aptos Narrow"/>
        <charset val="134"/>
        <scheme val="minor"/>
      </rPr>
      <t>rate</t>
    </r>
    <r>
      <rPr>
        <sz val="11"/>
        <color theme="1"/>
        <rFont val="Aptos Narrow"/>
        <charset val="134"/>
        <scheme val="minor"/>
      </rPr>
      <t xml:space="preserve"> → Interest rate per period.</t>
    </r>
  </si>
  <si>
    <r>
      <rPr>
        <b/>
        <sz val="11"/>
        <color theme="1"/>
        <rFont val="Aptos Narrow"/>
        <charset val="134"/>
        <scheme val="minor"/>
      </rPr>
      <t>nper</t>
    </r>
    <r>
      <rPr>
        <sz val="11"/>
        <color theme="1"/>
        <rFont val="Aptos Narrow"/>
        <charset val="134"/>
        <scheme val="minor"/>
      </rPr>
      <t xml:space="preserve"> → Total number of payment periods.</t>
    </r>
  </si>
  <si>
    <r>
      <rPr>
        <b/>
        <sz val="11"/>
        <color theme="1"/>
        <rFont val="Aptos Narrow"/>
        <charset val="134"/>
        <scheme val="minor"/>
      </rPr>
      <t>pv</t>
    </r>
    <r>
      <rPr>
        <sz val="11"/>
        <color theme="1"/>
        <rFont val="Aptos Narrow"/>
        <charset val="134"/>
        <scheme val="minor"/>
      </rPr>
      <t xml:space="preserve"> → Present value (loan amount or investment amount).</t>
    </r>
  </si>
  <si>
    <r>
      <rPr>
        <b/>
        <sz val="11"/>
        <color theme="1"/>
        <rFont val="Aptos Narrow"/>
        <charset val="134"/>
        <scheme val="minor"/>
      </rPr>
      <t>fv</t>
    </r>
    <r>
      <rPr>
        <sz val="11"/>
        <color theme="1"/>
        <rFont val="Aptos Narrow"/>
        <charset val="134"/>
        <scheme val="minor"/>
      </rPr>
      <t xml:space="preserve"> </t>
    </r>
    <r>
      <rPr>
        <i/>
        <sz val="11"/>
        <color theme="1"/>
        <rFont val="Aptos Narrow"/>
        <charset val="134"/>
        <scheme val="minor"/>
      </rPr>
      <t>(optional)</t>
    </r>
    <r>
      <rPr>
        <sz val="11"/>
        <color theme="1"/>
        <rFont val="Aptos Narrow"/>
        <charset val="134"/>
        <scheme val="minor"/>
      </rPr>
      <t xml:space="preserve"> → Future value after last payment (default is 0).</t>
    </r>
  </si>
  <si>
    <r>
      <rPr>
        <b/>
        <sz val="11"/>
        <color theme="1"/>
        <rFont val="Aptos Narrow"/>
        <charset val="134"/>
        <scheme val="minor"/>
      </rPr>
      <t>type</t>
    </r>
    <r>
      <rPr>
        <sz val="11"/>
        <color theme="1"/>
        <rFont val="Aptos Narrow"/>
        <charset val="134"/>
        <scheme val="minor"/>
      </rPr>
      <t xml:space="preserve"> </t>
    </r>
    <r>
      <rPr>
        <i/>
        <sz val="11"/>
        <color theme="1"/>
        <rFont val="Aptos Narrow"/>
        <charset val="134"/>
        <scheme val="minor"/>
      </rPr>
      <t>(optional)</t>
    </r>
    <r>
      <rPr>
        <sz val="11"/>
        <color theme="1"/>
        <rFont val="Aptos Narrow"/>
        <charset val="134"/>
        <scheme val="minor"/>
      </rPr>
      <t xml:space="preserve"> → Payment timing:</t>
    </r>
  </si>
  <si>
    <r>
      <rPr>
        <sz val="10"/>
        <color theme="1"/>
        <rFont val="Arial Unicode MS"/>
        <charset val="134"/>
      </rPr>
      <t>0</t>
    </r>
    <r>
      <rPr>
        <sz val="11"/>
        <color theme="1"/>
        <rFont val="Aptos Narrow"/>
        <charset val="134"/>
        <scheme val="minor"/>
      </rPr>
      <t xml:space="preserve"> → End of period (default)</t>
    </r>
  </si>
  <si>
    <r>
      <rPr>
        <sz val="10"/>
        <color theme="1"/>
        <rFont val="Arial Unicode MS"/>
        <charset val="134"/>
      </rPr>
      <t>1</t>
    </r>
    <r>
      <rPr>
        <sz val="11"/>
        <color theme="1"/>
        <rFont val="Aptos Narrow"/>
        <charset val="134"/>
        <scheme val="minor"/>
      </rPr>
      <t xml:space="preserve"> → Beginning of period</t>
    </r>
  </si>
  <si>
    <t>2. Features of PMT Formula</t>
  </si>
  <si>
    <r>
      <rPr>
        <sz val="11"/>
        <color theme="1"/>
        <rFont val="Aptos Narrow"/>
        <charset val="134"/>
        <scheme val="minor"/>
      </rPr>
      <t xml:space="preserve">Calculates </t>
    </r>
    <r>
      <rPr>
        <b/>
        <sz val="11"/>
        <color theme="1"/>
        <rFont val="Aptos Narrow"/>
        <charset val="134"/>
        <scheme val="minor"/>
      </rPr>
      <t>equal payments</t>
    </r>
    <r>
      <rPr>
        <sz val="11"/>
        <color theme="1"/>
        <rFont val="Aptos Narrow"/>
        <charset val="134"/>
        <scheme val="minor"/>
      </rPr>
      <t xml:space="preserve"> for loans or investments.</t>
    </r>
  </si>
  <si>
    <r>
      <rPr>
        <sz val="11"/>
        <color theme="1"/>
        <rFont val="Aptos Narrow"/>
        <charset val="134"/>
        <scheme val="minor"/>
      </rPr>
      <t xml:space="preserve">Works with </t>
    </r>
    <r>
      <rPr>
        <b/>
        <sz val="11"/>
        <color theme="1"/>
        <rFont val="Aptos Narrow"/>
        <charset val="134"/>
        <scheme val="minor"/>
      </rPr>
      <t>monthly, quarterly, yearly</t>
    </r>
    <r>
      <rPr>
        <sz val="11"/>
        <color theme="1"/>
        <rFont val="Aptos Narrow"/>
        <charset val="134"/>
        <scheme val="minor"/>
      </rPr>
      <t xml:space="preserve"> payments.</t>
    </r>
  </si>
  <si>
    <r>
      <rPr>
        <sz val="11"/>
        <color theme="1"/>
        <rFont val="Aptos Narrow"/>
        <charset val="134"/>
        <scheme val="minor"/>
      </rPr>
      <t xml:space="preserve">Can handle both </t>
    </r>
    <r>
      <rPr>
        <b/>
        <sz val="11"/>
        <color theme="1"/>
        <rFont val="Aptos Narrow"/>
        <charset val="134"/>
        <scheme val="minor"/>
      </rPr>
      <t>loans (negative PV)</t>
    </r>
    <r>
      <rPr>
        <sz val="11"/>
        <color theme="1"/>
        <rFont val="Aptos Narrow"/>
        <charset val="134"/>
        <scheme val="minor"/>
      </rPr>
      <t xml:space="preserve"> and </t>
    </r>
    <r>
      <rPr>
        <b/>
        <sz val="11"/>
        <color theme="1"/>
        <rFont val="Aptos Narrow"/>
        <charset val="134"/>
        <scheme val="minor"/>
      </rPr>
      <t>investments (positive PV)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</si>
  <si>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Accepts </t>
    </r>
    <r>
      <rPr>
        <b/>
        <sz val="11"/>
        <color theme="1"/>
        <rFont val="Aptos Narrow"/>
        <charset val="134"/>
        <scheme val="minor"/>
      </rPr>
      <t>payment timing</t>
    </r>
    <r>
      <rPr>
        <sz val="11"/>
        <color theme="1"/>
        <rFont val="Aptos Narrow"/>
        <charset val="134"/>
        <scheme val="minor"/>
      </rPr>
      <t xml:space="preserve"> (start or end of period).</t>
    </r>
  </si>
  <si>
    <r>
      <rPr>
        <sz val="11"/>
        <color theme="1"/>
        <rFont val="Aptos Narrow"/>
        <charset val="134"/>
        <scheme val="minor"/>
      </rPr>
      <t xml:space="preserve">Automatically accounts for </t>
    </r>
    <r>
      <rPr>
        <b/>
        <sz val="11"/>
        <color theme="1"/>
        <rFont val="Aptos Narrow"/>
        <charset val="134"/>
        <scheme val="minor"/>
      </rPr>
      <t>principal + interest</t>
    </r>
    <r>
      <rPr>
        <sz val="11"/>
        <color theme="1"/>
        <rFont val="Aptos Narrow"/>
        <charset val="134"/>
        <scheme val="minor"/>
      </rPr>
      <t xml:space="preserve"> portions.</t>
    </r>
  </si>
  <si>
    <r>
      <rPr>
        <sz val="11"/>
        <color theme="1"/>
        <rFont val="Aptos Narrow"/>
        <charset val="134"/>
        <scheme val="minor"/>
      </rPr>
      <t xml:space="preserve">Can be combined with </t>
    </r>
    <r>
      <rPr>
        <b/>
        <sz val="11"/>
        <color theme="1"/>
        <rFont val="Aptos Narrow"/>
        <charset val="134"/>
        <scheme val="minor"/>
      </rPr>
      <t>IPMT</t>
    </r>
    <r>
      <rPr>
        <sz val="11"/>
        <color theme="1"/>
        <rFont val="Aptos Narrow"/>
        <charset val="134"/>
        <scheme val="minor"/>
      </rPr>
      <t xml:space="preserve"> (interest part) &amp; </t>
    </r>
    <r>
      <rPr>
        <b/>
        <sz val="11"/>
        <color theme="1"/>
        <rFont val="Aptos Narrow"/>
        <charset val="134"/>
        <scheme val="minor"/>
      </rPr>
      <t>PPMT</t>
    </r>
    <r>
      <rPr>
        <sz val="11"/>
        <color theme="1"/>
        <rFont val="Aptos Narrow"/>
        <charset val="134"/>
        <scheme val="minor"/>
      </rPr>
      <t xml:space="preserve"> (principal part) formulas.</t>
    </r>
  </si>
  <si>
    <r>
      <rPr>
        <sz val="11"/>
        <color theme="1"/>
        <rFont val="Aptos Narrow"/>
        <charset val="134"/>
        <scheme val="minor"/>
      </rPr>
      <t xml:space="preserve">Supports </t>
    </r>
    <r>
      <rPr>
        <b/>
        <sz val="11"/>
        <color theme="1"/>
        <rFont val="Aptos Narrow"/>
        <charset val="134"/>
        <scheme val="minor"/>
      </rPr>
      <t>negative or positive results</t>
    </r>
    <r>
      <rPr>
        <sz val="11"/>
        <color theme="1"/>
        <rFont val="Aptos Narrow"/>
        <charset val="134"/>
        <scheme val="minor"/>
      </rPr>
      <t xml:space="preserve"> to indicate cash outflow/inflow.</t>
    </r>
  </si>
  <si>
    <t>3. Formula Sign</t>
  </si>
  <si>
    <r>
      <rPr>
        <sz val="11"/>
        <color theme="1"/>
        <rFont val="Aptos Narrow"/>
        <charset val="134"/>
        <scheme val="minor"/>
      </rPr>
      <t xml:space="preserve">By default, PMT returns a </t>
    </r>
    <r>
      <rPr>
        <b/>
        <sz val="11"/>
        <color theme="1"/>
        <rFont val="Aptos Narrow"/>
        <charset val="134"/>
        <scheme val="minor"/>
      </rPr>
      <t>negative value</t>
    </r>
    <r>
      <rPr>
        <sz val="11"/>
        <color theme="1"/>
        <rFont val="Aptos Narrow"/>
        <charset val="134"/>
        <scheme val="minor"/>
      </rPr>
      <t xml:space="preserve"> because payments are an </t>
    </r>
    <r>
      <rPr>
        <b/>
        <sz val="11"/>
        <color theme="1"/>
        <rFont val="Aptos Narrow"/>
        <charset val="134"/>
        <scheme val="minor"/>
      </rPr>
      <t>outflow</t>
    </r>
    <r>
      <rPr>
        <sz val="11"/>
        <color theme="1"/>
        <rFont val="Aptos Narrow"/>
        <charset val="134"/>
        <scheme val="minor"/>
      </rPr>
      <t xml:space="preserve"> of money.</t>
    </r>
  </si>
  <si>
    <t>You can make it positive by using:</t>
  </si>
  <si>
    <t>Example 1 – Monthly Loan EMI</t>
  </si>
  <si>
    <t>Loan amount: ₹5,00,000</t>
  </si>
  <si>
    <t>Annual interest rate: 12%</t>
  </si>
  <si>
    <t>Loan period: 5 years (60 months)</t>
  </si>
  <si>
    <t>Result:</t>
  </si>
  <si>
    <t>₹11,122.09 per month</t>
  </si>
  <si>
    <t>Here:</t>
  </si>
  <si>
    <r>
      <rPr>
        <sz val="10"/>
        <color theme="1"/>
        <rFont val="Arial Unicode MS"/>
        <charset val="134"/>
      </rPr>
      <t>12%/12</t>
    </r>
    <r>
      <rPr>
        <sz val="11"/>
        <color theme="1"/>
        <rFont val="Aptos Narrow"/>
        <charset val="134"/>
        <scheme val="minor"/>
      </rPr>
      <t xml:space="preserve"> → Monthly interest rate</t>
    </r>
  </si>
  <si>
    <r>
      <rPr>
        <sz val="10"/>
        <color theme="1"/>
        <rFont val="Arial Unicode MS"/>
        <charset val="134"/>
      </rPr>
      <t>60</t>
    </r>
    <r>
      <rPr>
        <sz val="11"/>
        <color theme="1"/>
        <rFont val="Aptos Narrow"/>
        <charset val="134"/>
        <scheme val="minor"/>
      </rPr>
      <t xml:space="preserve"> → Total months</t>
    </r>
  </si>
  <si>
    <r>
      <rPr>
        <sz val="10"/>
        <color theme="1"/>
        <rFont val="Arial Unicode MS"/>
        <charset val="134"/>
      </rPr>
      <t>500000</t>
    </r>
    <r>
      <rPr>
        <sz val="11"/>
        <color theme="1"/>
        <rFont val="Aptos Narrow"/>
        <charset val="134"/>
        <scheme val="minor"/>
      </rPr>
      <t xml:space="preserve"> → Loan amount</t>
    </r>
  </si>
  <si>
    <t>Example 2 – Investment Payment</t>
  </si>
  <si>
    <t>If you want to save ₹10,00,000 in 10 years at 8% annual interest (compounded monthly), the monthly saving needed is:</t>
  </si>
  <si>
    <t>₹6,839.44 per month</t>
  </si>
  <si>
    <t>Example 3 – Payment at Beginning of Period</t>
  </si>
  <si>
    <t>If payment is made at the start of each month:</t>
  </si>
  <si>
    <t>5. Uses of PMT Formula</t>
  </si>
  <si>
    <r>
      <rPr>
        <b/>
        <sz val="11"/>
        <color theme="1"/>
        <rFont val="Aptos Narrow"/>
        <charset val="134"/>
        <scheme val="minor"/>
      </rPr>
      <t>Loan EMI Calculation</t>
    </r>
    <r>
      <rPr>
        <sz val="11"/>
        <color theme="1"/>
        <rFont val="Aptos Narrow"/>
        <charset val="134"/>
        <scheme val="minor"/>
      </rPr>
      <t xml:space="preserve"> (home loan, car loan, personal loan).</t>
    </r>
  </si>
  <si>
    <r>
      <rPr>
        <b/>
        <sz val="11"/>
        <color theme="1"/>
        <rFont val="Aptos Narrow"/>
        <charset val="134"/>
        <scheme val="minor"/>
      </rPr>
      <t>Mortgage planning</t>
    </r>
    <r>
      <rPr>
        <sz val="11"/>
        <color theme="1"/>
        <rFont val="Aptos Narrow"/>
        <charset val="134"/>
        <scheme val="minor"/>
      </rPr>
      <t>.</t>
    </r>
  </si>
  <si>
    <r>
      <rPr>
        <b/>
        <sz val="11"/>
        <color theme="1"/>
        <rFont val="Aptos Narrow"/>
        <charset val="134"/>
        <scheme val="minor"/>
      </rPr>
      <t>Retirement savings goal</t>
    </r>
    <r>
      <rPr>
        <sz val="11"/>
        <color theme="1"/>
        <rFont val="Aptos Narrow"/>
        <charset val="134"/>
        <scheme val="minor"/>
      </rPr>
      <t xml:space="preserve"> calculation.</t>
    </r>
  </si>
  <si>
    <r>
      <rPr>
        <b/>
        <sz val="11"/>
        <color theme="1"/>
        <rFont val="Aptos Narrow"/>
        <charset val="134"/>
        <scheme val="minor"/>
      </rPr>
      <t>Investment installment planning</t>
    </r>
    <r>
      <rPr>
        <sz val="11"/>
        <color theme="1"/>
        <rFont val="Aptos Narrow"/>
        <charset val="134"/>
        <scheme val="minor"/>
      </rPr>
      <t>.</t>
    </r>
  </si>
  <si>
    <r>
      <rPr>
        <b/>
        <sz val="11"/>
        <color theme="1"/>
        <rFont val="Aptos Narrow"/>
        <charset val="134"/>
        <scheme val="minor"/>
      </rPr>
      <t>Business loan repayment schedule</t>
    </r>
    <r>
      <rPr>
        <sz val="11"/>
        <color theme="1"/>
        <rFont val="Aptos Narrow"/>
        <charset val="134"/>
        <scheme val="minor"/>
      </rPr>
      <t>.</t>
    </r>
  </si>
  <si>
    <r>
      <rPr>
        <b/>
        <sz val="11"/>
        <color theme="1"/>
        <rFont val="Aptos Narrow"/>
        <charset val="134"/>
        <scheme val="minor"/>
      </rPr>
      <t>Budget forecasting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</si>
  <si>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If you want, I can also make you an </t>
    </r>
    <r>
      <rPr>
        <b/>
        <sz val="11"/>
        <color theme="1"/>
        <rFont val="Aptos Narrow"/>
        <charset val="134"/>
        <scheme val="minor"/>
      </rPr>
      <t>Excel EMI Calculator</t>
    </r>
    <r>
      <rPr>
        <sz val="11"/>
        <color theme="1"/>
        <rFont val="Aptos Narrow"/>
        <charset val="134"/>
        <scheme val="minor"/>
      </rPr>
      <t xml:space="preserve"> with </t>
    </r>
    <r>
      <rPr>
        <b/>
        <sz val="11"/>
        <color theme="1"/>
        <rFont val="Aptos Narrow"/>
        <charset val="134"/>
        <scheme val="minor"/>
      </rPr>
      <t>PMT, IPMT, and PPMT</t>
    </r>
    <r>
      <rPr>
        <sz val="11"/>
        <color theme="1"/>
        <rFont val="Aptos Narrow"/>
        <charset val="134"/>
        <scheme val="minor"/>
      </rPr>
      <t xml:space="preserve"> formulas so you can see monthly breakdowns of principal and interest.</t>
    </r>
  </si>
  <si>
    <t>Principle</t>
  </si>
  <si>
    <t>Month</t>
  </si>
  <si>
    <t>PPMT</t>
  </si>
  <si>
    <t>IPMT</t>
  </si>
  <si>
    <t>Balance</t>
  </si>
  <si>
    <t>Interest Rate</t>
  </si>
  <si>
    <t>It is Mandetory In Percentage Format</t>
  </si>
  <si>
    <t>Period (Yearly)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</si>
  <si>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PMT</t>
    </r>
    <r>
      <rPr>
        <sz val="11"/>
        <color theme="1"/>
        <rFont val="Aptos Narrow"/>
        <charset val="134"/>
        <scheme val="minor"/>
      </rPr>
      <t xml:space="preserve"> function in Excel is a </t>
    </r>
    <r>
      <rPr>
        <b/>
        <sz val="11"/>
        <color theme="1"/>
        <rFont val="Aptos Narrow"/>
        <charset val="134"/>
        <scheme val="minor"/>
      </rPr>
      <t>financial function</t>
    </r>
    <r>
      <rPr>
        <sz val="11"/>
        <color theme="1"/>
        <rFont val="Aptos Narrow"/>
        <charset val="134"/>
        <scheme val="minor"/>
      </rPr>
      <t xml:space="preserve"> used to calculate the </t>
    </r>
    <r>
      <rPr>
        <b/>
        <sz val="11"/>
        <color theme="1"/>
        <rFont val="Aptos Narrow"/>
        <charset val="134"/>
        <scheme val="minor"/>
      </rPr>
      <t>fixed periodic payment</t>
    </r>
    <r>
      <rPr>
        <sz val="11"/>
        <color theme="1"/>
        <rFont val="Aptos Narrow"/>
        <charset val="134"/>
        <scheme val="minor"/>
      </rPr>
      <t xml:space="preserve"> (principal + interest) required to fully pay off a loan or investment over a specified period, given a fixed interest rate.</t>
    </r>
  </si>
  <si>
    <t>2 Year</t>
  </si>
  <si>
    <t>Months</t>
  </si>
  <si>
    <t>Weekly</t>
  </si>
  <si>
    <t>1. Why Use PMT Function</t>
  </si>
  <si>
    <t>Monthly</t>
  </si>
  <si>
    <t>Quaterly</t>
  </si>
  <si>
    <t>You use the PMT function when you want to:</t>
  </si>
  <si>
    <t>Semi Annually</t>
  </si>
  <si>
    <t>Annuually</t>
  </si>
  <si>
    <r>
      <rPr>
        <b/>
        <sz val="11"/>
        <color theme="1"/>
        <rFont val="Aptos Narrow"/>
        <charset val="134"/>
        <scheme val="minor"/>
      </rPr>
      <t>Calculate loan repayments</t>
    </r>
    <r>
      <rPr>
        <sz val="11"/>
        <color theme="1"/>
        <rFont val="Aptos Narrow"/>
        <charset val="134"/>
        <scheme val="minor"/>
      </rPr>
      <t xml:space="preserve"> (e.g., home loan, car loan, education loan).</t>
    </r>
  </si>
  <si>
    <t>Optional</t>
  </si>
  <si>
    <r>
      <rPr>
        <b/>
        <sz val="11"/>
        <color theme="1"/>
        <rFont val="Aptos Narrow"/>
        <charset val="134"/>
        <scheme val="minor"/>
      </rPr>
      <t>Plan investments</t>
    </r>
    <r>
      <rPr>
        <sz val="11"/>
        <color theme="1"/>
        <rFont val="Aptos Narrow"/>
        <charset val="134"/>
        <scheme val="minor"/>
      </rPr>
      <t xml:space="preserve"> to reach a target amount.</t>
    </r>
  </si>
  <si>
    <r>
      <rPr>
        <b/>
        <sz val="11"/>
        <color theme="1"/>
        <rFont val="Aptos Narrow"/>
        <charset val="134"/>
        <scheme val="minor"/>
      </rPr>
      <t>Estimate EMIs</t>
    </r>
    <r>
      <rPr>
        <sz val="11"/>
        <color theme="1"/>
        <rFont val="Aptos Narrow"/>
        <charset val="134"/>
        <scheme val="minor"/>
      </rPr>
      <t xml:space="preserve"> (Equated Monthly Installments) for financial planning.</t>
    </r>
  </si>
  <si>
    <r>
      <rPr>
        <b/>
        <sz val="11"/>
        <color theme="1"/>
        <rFont val="Aptos Narrow"/>
        <charset val="134"/>
        <scheme val="minor"/>
      </rPr>
      <t>Determine payment schedules</t>
    </r>
    <r>
      <rPr>
        <sz val="11"/>
        <color theme="1"/>
        <rFont val="Aptos Narrow"/>
        <charset val="134"/>
        <scheme val="minor"/>
      </rPr>
      <t xml:space="preserve"> for budgeting purposes.</t>
    </r>
  </si>
  <si>
    <t>Payment</t>
  </si>
  <si>
    <r>
      <rPr>
        <b/>
        <sz val="11"/>
        <color theme="1"/>
        <rFont val="Aptos Narrow"/>
        <charset val="134"/>
        <scheme val="minor"/>
      </rPr>
      <t>Avoid manual complex formulas</t>
    </r>
    <r>
      <rPr>
        <sz val="11"/>
        <color theme="1"/>
        <rFont val="Aptos Narrow"/>
        <charset val="134"/>
        <scheme val="minor"/>
      </rPr>
      <t xml:space="preserve"> for time-value-of-money calculations.</t>
    </r>
  </si>
  <si>
    <t>Interest Payment</t>
  </si>
  <si>
    <t>Principle Payment</t>
  </si>
  <si>
    <t>PV</t>
  </si>
  <si>
    <t>Present Value</t>
  </si>
  <si>
    <t>FV</t>
  </si>
  <si>
    <t>Future Value</t>
  </si>
  <si>
    <t>2. When to Use PMT Function</t>
  </si>
  <si>
    <t>NPER</t>
  </si>
  <si>
    <t>Number of Period Total Period</t>
  </si>
  <si>
    <t>You should use PMT when:</t>
  </si>
  <si>
    <t>1 Year</t>
  </si>
  <si>
    <t>52 weeks contain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</si>
  <si>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interest rate is fixed</t>
    </r>
    <r>
      <rPr>
        <sz val="11"/>
        <color theme="1"/>
        <rFont val="Aptos Narrow"/>
        <charset val="134"/>
        <scheme val="minor"/>
      </rPr>
      <t xml:space="preserve"> throughout the payment period.</t>
    </r>
  </si>
  <si>
    <t>1Year</t>
  </si>
  <si>
    <t>12 Months</t>
  </si>
  <si>
    <t xml:space="preserve">1Year </t>
  </si>
  <si>
    <t>3 Months 1 Quarter</t>
  </si>
  <si>
    <r>
      <rPr>
        <sz val="11"/>
        <color theme="1"/>
        <rFont val="Aptos Narrow"/>
        <charset val="134"/>
        <scheme val="minor"/>
      </rPr>
      <t xml:space="preserve">The </t>
    </r>
    <r>
      <rPr>
        <b/>
        <sz val="11"/>
        <color theme="1"/>
        <rFont val="Aptos Narrow"/>
        <charset val="134"/>
        <scheme val="minor"/>
      </rPr>
      <t>payment amount is equal</t>
    </r>
    <r>
      <rPr>
        <sz val="11"/>
        <color theme="1"/>
        <rFont val="Aptos Narrow"/>
        <charset val="134"/>
        <scheme val="minor"/>
      </rPr>
      <t xml:space="preserve"> in every period.</t>
    </r>
  </si>
  <si>
    <r>
      <rPr>
        <sz val="11"/>
        <color theme="1"/>
        <rFont val="Aptos Narrow"/>
        <charset val="134"/>
        <scheme val="minor"/>
      </rPr>
      <t xml:space="preserve">Payments are made </t>
    </r>
    <r>
      <rPr>
        <b/>
        <sz val="11"/>
        <color theme="1"/>
        <rFont val="Aptos Narrow"/>
        <charset val="134"/>
        <scheme val="minor"/>
      </rPr>
      <t>at regular intervals</t>
    </r>
    <r>
      <rPr>
        <sz val="11"/>
        <color theme="1"/>
        <rFont val="Aptos Narrow"/>
        <charset val="134"/>
        <scheme val="minor"/>
      </rPr>
      <t xml:space="preserve"> (monthly, quarterly, yearly).</t>
    </r>
  </si>
  <si>
    <r>
      <rPr>
        <sz val="11"/>
        <color theme="1"/>
        <rFont val="Aptos Narrow"/>
        <charset val="134"/>
        <scheme val="minor"/>
      </rPr>
      <t xml:space="preserve">You want to </t>
    </r>
    <r>
      <rPr>
        <b/>
        <sz val="11"/>
        <color theme="1"/>
        <rFont val="Aptos Narrow"/>
        <charset val="134"/>
        <scheme val="minor"/>
      </rPr>
      <t>know the payment amount</t>
    </r>
    <r>
      <rPr>
        <sz val="11"/>
        <color theme="1"/>
        <rFont val="Aptos Narrow"/>
        <charset val="134"/>
        <scheme val="minor"/>
      </rPr>
      <t>, not the interest or balance.</t>
    </r>
  </si>
  <si>
    <t>How Much Pay</t>
  </si>
  <si>
    <t>3. PMT Function Syntax</t>
  </si>
  <si>
    <t>How set interest</t>
  </si>
  <si>
    <t>Loan Amount Annually EMI Calculate</t>
  </si>
  <si>
    <t>css</t>
  </si>
  <si>
    <t>CopyEdit</t>
  </si>
  <si>
    <t>Principle PMT</t>
  </si>
  <si>
    <t>PMT(rate, nper, pv, [fv], [type])</t>
  </si>
  <si>
    <t>Interest PMT</t>
  </si>
  <si>
    <t>Each Month Wise Calculate</t>
  </si>
  <si>
    <t>1 Month Principle Amount</t>
  </si>
  <si>
    <t>1st Month Interest Amount</t>
  </si>
  <si>
    <t>Outstanding</t>
  </si>
  <si>
    <r>
      <rPr>
        <b/>
        <sz val="11"/>
        <color theme="1"/>
        <rFont val="Aptos Narrow"/>
        <charset val="134"/>
        <scheme val="minor"/>
      </rPr>
      <t>rate</t>
    </r>
    <r>
      <rPr>
        <sz val="11"/>
        <color theme="1"/>
        <rFont val="Aptos Narrow"/>
        <charset val="134"/>
        <scheme val="minor"/>
      </rPr>
      <t xml:space="preserve"> → Interest rate per period (e.g., annual rate ÷ 12 for monthly).</t>
    </r>
  </si>
  <si>
    <t>Dragging Is Reletive Reference Changing Cell Top Down</t>
  </si>
  <si>
    <r>
      <rPr>
        <b/>
        <sz val="11"/>
        <color theme="1"/>
        <rFont val="Aptos Narrow"/>
        <charset val="134"/>
        <scheme val="minor"/>
      </rPr>
      <t>pv</t>
    </r>
    <r>
      <rPr>
        <sz val="11"/>
        <color theme="1"/>
        <rFont val="Aptos Narrow"/>
        <charset val="134"/>
        <scheme val="minor"/>
      </rPr>
      <t xml:space="preserve"> → Present value or principal amount.</t>
    </r>
  </si>
  <si>
    <r>
      <rPr>
        <b/>
        <sz val="11"/>
        <color theme="1"/>
        <rFont val="Aptos Narrow"/>
        <charset val="134"/>
        <scheme val="minor"/>
      </rPr>
      <t>fv</t>
    </r>
    <r>
      <rPr>
        <sz val="11"/>
        <color theme="1"/>
        <rFont val="Aptos Narrow"/>
        <charset val="134"/>
        <scheme val="minor"/>
      </rPr>
      <t xml:space="preserve"> </t>
    </r>
    <r>
      <rPr>
        <i/>
        <sz val="11"/>
        <color theme="1"/>
        <rFont val="Aptos Narrow"/>
        <charset val="134"/>
        <scheme val="minor"/>
      </rPr>
      <t>(optional)</t>
    </r>
    <r>
      <rPr>
        <sz val="11"/>
        <color theme="1"/>
        <rFont val="Aptos Narrow"/>
        <charset val="134"/>
        <scheme val="minor"/>
      </rPr>
      <t xml:space="preserve"> → Future value after last payment (default = 0).</t>
    </r>
  </si>
  <si>
    <t>0 → End of period (default)</t>
  </si>
  <si>
    <t>1 → Beginning of period</t>
  </si>
  <si>
    <t>4. Features of PMT Function</t>
  </si>
  <si>
    <r>
      <rPr>
        <sz val="11"/>
        <color theme="1"/>
        <rFont val="Aptos Narrow"/>
        <charset val="134"/>
        <scheme val="minor"/>
      </rPr>
      <t xml:space="preserve">✅ Calculates </t>
    </r>
    <r>
      <rPr>
        <b/>
        <sz val="11"/>
        <color theme="1"/>
        <rFont val="Aptos Narrow"/>
        <charset val="134"/>
        <scheme val="minor"/>
      </rPr>
      <t>consistent periodic payments</t>
    </r>
    <r>
      <rPr>
        <sz val="11"/>
        <color theme="1"/>
        <rFont val="Aptos Narrow"/>
        <charset val="134"/>
        <scheme val="minor"/>
      </rPr>
      <t xml:space="preserve"> automatically.</t>
    </r>
  </si>
  <si>
    <r>
      <rPr>
        <sz val="11"/>
        <color theme="1"/>
        <rFont val="Aptos Narrow"/>
        <charset val="134"/>
        <scheme val="minor"/>
      </rPr>
      <t xml:space="preserve">✅ Works with </t>
    </r>
    <r>
      <rPr>
        <b/>
        <sz val="11"/>
        <color theme="1"/>
        <rFont val="Aptos Narrow"/>
        <charset val="134"/>
        <scheme val="minor"/>
      </rPr>
      <t>loans, investments, and annuities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</si>
  <si>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✅ Allows </t>
    </r>
    <r>
      <rPr>
        <b/>
        <sz val="11"/>
        <color theme="1"/>
        <rFont val="Aptos Narrow"/>
        <charset val="134"/>
        <scheme val="minor"/>
      </rPr>
      <t>flexibility</t>
    </r>
    <r>
      <rPr>
        <sz val="11"/>
        <color theme="1"/>
        <rFont val="Aptos Narrow"/>
        <charset val="134"/>
        <scheme val="minor"/>
      </rPr>
      <t xml:space="preserve"> with payment timing (start/end of period).</t>
    </r>
  </si>
  <si>
    <r>
      <rPr>
        <sz val="11"/>
        <color theme="1"/>
        <rFont val="Aptos Narrow"/>
        <charset val="134"/>
        <scheme val="minor"/>
      </rPr>
      <t xml:space="preserve">✅ Handles </t>
    </r>
    <r>
      <rPr>
        <b/>
        <sz val="11"/>
        <color theme="1"/>
        <rFont val="Aptos Narrow"/>
        <charset val="134"/>
        <scheme val="minor"/>
      </rPr>
      <t>future value goals</t>
    </r>
    <r>
      <rPr>
        <sz val="11"/>
        <color theme="1"/>
        <rFont val="Aptos Narrow"/>
        <charset val="134"/>
        <scheme val="minor"/>
      </rPr>
      <t xml:space="preserve"> (e.g., saving for a target).</t>
    </r>
  </si>
  <si>
    <r>
      <rPr>
        <sz val="11"/>
        <color theme="1"/>
        <rFont val="Aptos Narrow"/>
        <charset val="134"/>
        <scheme val="minor"/>
      </rPr>
      <t xml:space="preserve">✅ Can be combined with other financial functions like </t>
    </r>
    <r>
      <rPr>
        <sz val="10"/>
        <color theme="1"/>
        <rFont val="Arial Unicode MS"/>
        <charset val="134"/>
      </rPr>
      <t>IPMT</t>
    </r>
    <r>
      <rPr>
        <sz val="11"/>
        <color theme="1"/>
        <rFont val="Aptos Narrow"/>
        <charset val="134"/>
        <scheme val="minor"/>
      </rPr>
      <t xml:space="preserve"> (interest payment) &amp; </t>
    </r>
    <r>
      <rPr>
        <sz val="10"/>
        <color theme="1"/>
        <rFont val="Arial Unicode MS"/>
        <charset val="134"/>
      </rPr>
      <t>PPMT</t>
    </r>
    <r>
      <rPr>
        <sz val="11"/>
        <color theme="1"/>
        <rFont val="Aptos Narrow"/>
        <charset val="134"/>
        <scheme val="minor"/>
      </rPr>
      <t xml:space="preserve"> (principal payment).</t>
    </r>
  </si>
  <si>
    <r>
      <rPr>
        <sz val="11"/>
        <color theme="1"/>
        <rFont val="Aptos Narrow"/>
        <charset val="134"/>
        <scheme val="minor"/>
      </rPr>
      <t xml:space="preserve">✅ Supports both </t>
    </r>
    <r>
      <rPr>
        <b/>
        <sz val="11"/>
        <color theme="1"/>
        <rFont val="Aptos Narrow"/>
        <charset val="134"/>
        <scheme val="minor"/>
      </rPr>
      <t>monthly and annual calculations</t>
    </r>
    <r>
      <rPr>
        <sz val="11"/>
        <color theme="1"/>
        <rFont val="Aptos Narrow"/>
        <charset val="134"/>
        <scheme val="minor"/>
      </rPr>
      <t>.</t>
    </r>
  </si>
  <si>
    <t>Find EMI</t>
  </si>
  <si>
    <t>Find Rate</t>
  </si>
  <si>
    <t>Find Period</t>
  </si>
  <si>
    <t>Loan</t>
  </si>
  <si>
    <t>Interest</t>
  </si>
  <si>
    <t>Periods</t>
  </si>
  <si>
    <t>Period</t>
  </si>
  <si>
    <t>EMI</t>
  </si>
  <si>
    <t>RATE</t>
  </si>
  <si>
    <t>S.Name</t>
  </si>
  <si>
    <t>City</t>
  </si>
  <si>
    <t>Highlight Data</t>
  </si>
  <si>
    <t>kaushal</t>
  </si>
  <si>
    <t>Shyam</t>
  </si>
  <si>
    <t>Babu</t>
  </si>
  <si>
    <t>Raja</t>
  </si>
  <si>
    <t>Haryana</t>
  </si>
  <si>
    <t>Rajasthan</t>
  </si>
  <si>
    <t>Hariyana</t>
  </si>
  <si>
    <t>Hard Disk</t>
  </si>
  <si>
    <t>USB</t>
  </si>
  <si>
    <t>Headphone</t>
  </si>
  <si>
    <t>REPT Function In Excel</t>
  </si>
  <si>
    <t>Kunal</t>
  </si>
  <si>
    <t>Sunil</t>
  </si>
  <si>
    <t>Arvind</t>
  </si>
  <si>
    <t>Rajesh</t>
  </si>
  <si>
    <t>Ganesh</t>
  </si>
  <si>
    <t>Reapeat a text string a specified number of times</t>
  </si>
  <si>
    <t>Percentage Bar In Excel</t>
  </si>
  <si>
    <t>Percentage</t>
  </si>
  <si>
    <t>Percentage Bar</t>
  </si>
  <si>
    <t>SCAN FUNCTION IN EXCEL</t>
  </si>
  <si>
    <t>Number Series</t>
  </si>
  <si>
    <t>Running Total</t>
  </si>
  <si>
    <t>Wraprows Function In Excel</t>
  </si>
  <si>
    <t>Arif</t>
  </si>
  <si>
    <t>Rudra</t>
  </si>
  <si>
    <t>Chennai</t>
  </si>
  <si>
    <t>Tannu</t>
  </si>
  <si>
    <t>Jaipur</t>
  </si>
  <si>
    <r>
      <t xml:space="preserve">The </t>
    </r>
    <r>
      <rPr>
        <b/>
        <sz val="10"/>
        <color theme="1"/>
        <rFont val="Arial Unicode MS"/>
      </rPr>
      <t>SCAN</t>
    </r>
    <r>
      <rPr>
        <sz val="11"/>
        <color theme="1"/>
        <rFont val="Aptos Narrow"/>
        <family val="2"/>
        <scheme val="minor"/>
      </rPr>
      <t xml:space="preserve"> function in Excel is a </t>
    </r>
    <r>
      <rPr>
        <b/>
        <sz val="11"/>
        <color theme="1"/>
        <rFont val="Aptos Narrow"/>
        <family val="2"/>
        <scheme val="minor"/>
      </rPr>
      <t>dynamic array function</t>
    </r>
    <r>
      <rPr>
        <sz val="11"/>
        <color theme="1"/>
        <rFont val="Aptos Narrow"/>
        <family val="2"/>
        <scheme val="minor"/>
      </rPr>
      <t xml:space="preserve"> introduced in </t>
    </r>
    <r>
      <rPr>
        <b/>
        <sz val="11"/>
        <color theme="1"/>
        <rFont val="Aptos Narrow"/>
        <family val="2"/>
        <scheme val="minor"/>
      </rPr>
      <t>Excel 365 / Excel 2021</t>
    </r>
    <r>
      <rPr>
        <sz val="11"/>
        <color theme="1"/>
        <rFont val="Aptos Narrow"/>
        <family val="2"/>
        <scheme val="minor"/>
      </rPr>
      <t xml:space="preserve">. It </t>
    </r>
    <r>
      <rPr>
        <b/>
        <sz val="11"/>
        <color theme="1"/>
        <rFont val="Aptos Narrow"/>
        <family val="2"/>
        <scheme val="minor"/>
      </rPr>
      <t>scans a list/array from left to right</t>
    </r>
    <r>
      <rPr>
        <sz val="11"/>
        <color theme="1"/>
        <rFont val="Aptos Narrow"/>
        <family val="2"/>
        <scheme val="minor"/>
      </rPr>
      <t xml:space="preserve">, applying a </t>
    </r>
    <r>
      <rPr>
        <b/>
        <sz val="11"/>
        <color theme="1"/>
        <rFont val="Aptos Narrow"/>
        <family val="2"/>
        <scheme val="minor"/>
      </rPr>
      <t>custom function</t>
    </r>
    <r>
      <rPr>
        <sz val="11"/>
        <color theme="1"/>
        <rFont val="Aptos Narrow"/>
        <family val="2"/>
        <scheme val="minor"/>
      </rPr>
      <t xml:space="preserve"> to each element, </t>
    </r>
    <r>
      <rPr>
        <b/>
        <sz val="11"/>
        <color theme="1"/>
        <rFont val="Aptos Narrow"/>
        <family val="2"/>
        <scheme val="minor"/>
      </rPr>
      <t>accumulating</t>
    </r>
    <r>
      <rPr>
        <sz val="11"/>
        <color theme="1"/>
        <rFont val="Aptos Narrow"/>
        <family val="2"/>
        <scheme val="minor"/>
      </rPr>
      <t xml:space="preserve"> the result at each step.</t>
    </r>
  </si>
  <si>
    <t>SCAN([initial_value], array, lambda(accumulator, value) =&gt; calculation)</t>
  </si>
  <si>
    <r>
      <t>initial_value</t>
    </r>
    <r>
      <rPr>
        <sz val="11"/>
        <color theme="1"/>
        <rFont val="Aptos Narrow"/>
        <family val="2"/>
        <scheme val="minor"/>
      </rPr>
      <t>: The starting value for the accumulator.</t>
    </r>
  </si>
  <si>
    <r>
      <t>array</t>
    </r>
    <r>
      <rPr>
        <sz val="11"/>
        <color theme="1"/>
        <rFont val="Aptos Narrow"/>
        <family val="2"/>
        <scheme val="minor"/>
      </rPr>
      <t>: The array to scan through.</t>
    </r>
  </si>
  <si>
    <r>
      <t>lambda</t>
    </r>
    <r>
      <rPr>
        <sz val="11"/>
        <color theme="1"/>
        <rFont val="Aptos Narrow"/>
        <family val="2"/>
        <scheme val="minor"/>
      </rPr>
      <t>: A custom function that takes the accumulator and the current value to return a new accumulated value.</t>
    </r>
  </si>
  <si>
    <t>Iterative accumulation</t>
  </si>
  <si>
    <t>Like a running total (but customizable).</t>
  </si>
  <si>
    <t>Custom operations</t>
  </si>
  <si>
    <r>
      <t xml:space="preserve">You define the logic using </t>
    </r>
    <r>
      <rPr>
        <sz val="10"/>
        <color theme="1"/>
        <rFont val="Arial Unicode MS"/>
      </rPr>
      <t>LAMBDA</t>
    </r>
    <r>
      <rPr>
        <sz val="11"/>
        <color theme="1"/>
        <rFont val="Aptos Narrow"/>
        <family val="2"/>
        <scheme val="minor"/>
      </rPr>
      <t>.</t>
    </r>
  </si>
  <si>
    <t>Works with arrays</t>
  </si>
  <si>
    <t>Can scan rows, columns, or ranges.</t>
  </si>
  <si>
    <t>Spills output</t>
  </si>
  <si>
    <t>Returns an array result.</t>
  </si>
  <si>
    <t>Combines with other dynamic functions</t>
  </si>
  <si>
    <r>
      <t xml:space="preserve">Works well with </t>
    </r>
    <r>
      <rPr>
        <sz val="10"/>
        <color theme="1"/>
        <rFont val="Arial Unicode MS"/>
      </rPr>
      <t>BYROW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LAMBDA</t>
    </r>
    <r>
      <rPr>
        <sz val="11"/>
        <color theme="1"/>
        <rFont val="Aptos Narrow"/>
        <family val="2"/>
        <scheme val="minor"/>
      </rPr>
      <t>, etc.</t>
    </r>
  </si>
  <si>
    <t>✅ Use Cases with Examples</t>
  </si>
  <si>
    <t>🧮 1. Running Total</t>
  </si>
  <si>
    <r>
      <t xml:space="preserve">🔹 If </t>
    </r>
    <r>
      <rPr>
        <sz val="10"/>
        <color theme="1"/>
        <rFont val="Arial Unicode MS"/>
      </rPr>
      <t>A2:A5</t>
    </r>
    <r>
      <rPr>
        <sz val="11"/>
        <color theme="1"/>
        <rFont val="Aptos Narrow"/>
        <family val="2"/>
        <scheme val="minor"/>
      </rPr>
      <t xml:space="preserve"> contains </t>
    </r>
    <r>
      <rPr>
        <sz val="10"/>
        <color theme="1"/>
        <rFont val="Arial Unicode MS"/>
      </rPr>
      <t>{10, 20, 30, 40}</t>
    </r>
  </si>
  <si>
    <r>
      <t xml:space="preserve">🔹 Output: </t>
    </r>
    <r>
      <rPr>
        <sz val="10"/>
        <color theme="1"/>
        <rFont val="Arial Unicode MS"/>
      </rPr>
      <t>{10, 30, 60, 100}</t>
    </r>
  </si>
  <si>
    <t>📉 2. Running Maximum</t>
  </si>
  <si>
    <t>🔹 Keeps track of the highest value seen so far.</t>
  </si>
  <si>
    <r>
      <t xml:space="preserve">🔹 If values are </t>
    </r>
    <r>
      <rPr>
        <sz val="10"/>
        <color theme="1"/>
        <rFont val="Arial Unicode MS"/>
      </rPr>
      <t>{10, 25, 18, 30}</t>
    </r>
  </si>
  <si>
    <r>
      <t xml:space="preserve">🔹 Output: </t>
    </r>
    <r>
      <rPr>
        <sz val="10"/>
        <color theme="1"/>
        <rFont val="Arial Unicode MS"/>
      </rPr>
      <t>{10, 25, 25, 30}</t>
    </r>
  </si>
  <si>
    <t>🧾 3. Concatenating Text Values</t>
  </si>
  <si>
    <r>
      <t xml:space="preserve">🔹 If values are </t>
    </r>
    <r>
      <rPr>
        <sz val="10"/>
        <color theme="1"/>
        <rFont val="Arial Unicode MS"/>
      </rPr>
      <t>{A, B, C}</t>
    </r>
  </si>
  <si>
    <r>
      <t xml:space="preserve">🔹 Output: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A-B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A-B-C</t>
    </r>
  </si>
  <si>
    <t>⌛ 4. Cumulative Product</t>
  </si>
  <si>
    <t>🔹 Multiply each new number with the previous result</t>
  </si>
  <si>
    <r>
      <t xml:space="preserve">🔹 </t>
    </r>
    <r>
      <rPr>
        <sz val="10"/>
        <color theme="1"/>
        <rFont val="Arial Unicode MS"/>
      </rPr>
      <t>{2, 3, 4}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{2, 6, 24}</t>
    </r>
  </si>
  <si>
    <t>📦 5. Track Position Index</t>
  </si>
  <si>
    <r>
      <t xml:space="preserve">🔹 Outputs index like </t>
    </r>
    <r>
      <rPr>
        <sz val="10"/>
        <color theme="1"/>
        <rFont val="Arial Unicode MS"/>
      </rPr>
      <t>{1, 2, 3, 4, 5}</t>
    </r>
  </si>
  <si>
    <t>⚠️ Important Notes:</t>
  </si>
  <si>
    <r>
      <t xml:space="preserve">Requires </t>
    </r>
    <r>
      <rPr>
        <b/>
        <sz val="11"/>
        <color theme="1"/>
        <rFont val="Aptos Narrow"/>
        <family val="2"/>
        <scheme val="minor"/>
      </rPr>
      <t>Excel 365 / Excel 2021 or later</t>
    </r>
  </si>
  <si>
    <r>
      <t xml:space="preserve">Must use </t>
    </r>
    <r>
      <rPr>
        <b/>
        <sz val="11"/>
        <color theme="1"/>
        <rFont val="Aptos Narrow"/>
        <family val="2"/>
        <scheme val="minor"/>
      </rPr>
      <t>LAMBDA function</t>
    </r>
  </si>
  <si>
    <r>
      <t xml:space="preserve">Automatically </t>
    </r>
    <r>
      <rPr>
        <b/>
        <sz val="11"/>
        <color theme="1"/>
        <rFont val="Aptos Narrow"/>
        <family val="2"/>
        <scheme val="minor"/>
      </rPr>
      <t>spills</t>
    </r>
    <r>
      <rPr>
        <sz val="11"/>
        <color theme="1"/>
        <rFont val="Aptos Narrow"/>
        <family val="2"/>
        <scheme val="minor"/>
      </rPr>
      <t xml:space="preserve"> output values to adjacent cells</t>
    </r>
  </si>
  <si>
    <t>📁 Want a Practice Excel File?</t>
  </si>
  <si>
    <r>
      <t xml:space="preserve">Would you like me to create an </t>
    </r>
    <r>
      <rPr>
        <sz val="10"/>
        <color theme="1"/>
        <rFont val="Arial Unicode MS"/>
      </rPr>
      <t>.xlsx</t>
    </r>
    <r>
      <rPr>
        <sz val="11"/>
        <color theme="1"/>
        <rFont val="Aptos Narrow"/>
        <family val="2"/>
        <scheme val="minor"/>
      </rPr>
      <t xml:space="preserve"> file with </t>
    </r>
    <r>
      <rPr>
        <b/>
        <sz val="11"/>
        <color theme="1"/>
        <rFont val="Aptos Narrow"/>
        <family val="2"/>
        <scheme val="minor"/>
      </rPr>
      <t>20+ SCAN function examples</t>
    </r>
    <r>
      <rPr>
        <sz val="11"/>
        <color theme="1"/>
        <rFont val="Aptos Narrow"/>
        <family val="2"/>
        <scheme val="minor"/>
      </rPr>
      <t xml:space="preserve"> for practice?</t>
    </r>
  </si>
  <si>
    <t xml:space="preserve"> What is SCAN Function in Excel?</t>
  </si>
  <si>
    <t xml:space="preserve"> Key Features:</t>
  </si>
  <si>
    <t>SORT FUNCTION IN EXCEL</t>
  </si>
  <si>
    <t>Birth Year</t>
  </si>
  <si>
    <t>GMAIL ID</t>
  </si>
  <si>
    <t>Kimi2001@gmail.com</t>
  </si>
  <si>
    <t>Jani2000@gmail.com</t>
  </si>
  <si>
    <t>Kaku1999@gmail.com</t>
  </si>
  <si>
    <t>Riya1996@gmail.com</t>
  </si>
  <si>
    <t>Kaushal1997@gmail.com</t>
  </si>
  <si>
    <t>Kiran1996@gmail.com</t>
  </si>
  <si>
    <r>
      <t xml:space="preserve">The </t>
    </r>
    <r>
      <rPr>
        <b/>
        <sz val="10"/>
        <color theme="1"/>
        <rFont val="Arial Unicode MS"/>
      </rPr>
      <t>SORT</t>
    </r>
    <r>
      <rPr>
        <b/>
        <sz val="11"/>
        <color theme="1"/>
        <rFont val="Aptos Narrow"/>
        <family val="2"/>
        <scheme val="minor"/>
      </rPr>
      <t xml:space="preserve"> function</t>
    </r>
    <r>
      <rPr>
        <sz val="11"/>
        <color theme="1"/>
        <rFont val="Aptos Narrow"/>
        <family val="2"/>
        <scheme val="minor"/>
      </rPr>
      <t xml:space="preserve"> in Excel is a </t>
    </r>
    <r>
      <rPr>
        <b/>
        <sz val="11"/>
        <color theme="1"/>
        <rFont val="Aptos Narrow"/>
        <family val="2"/>
        <scheme val="minor"/>
      </rPr>
      <t>dynamic array function</t>
    </r>
    <r>
      <rPr>
        <sz val="11"/>
        <color theme="1"/>
        <rFont val="Aptos Narrow"/>
        <family val="2"/>
        <scheme val="minor"/>
      </rPr>
      <t xml:space="preserve"> that </t>
    </r>
    <r>
      <rPr>
        <b/>
        <sz val="11"/>
        <color theme="1"/>
        <rFont val="Aptos Narrow"/>
        <family val="2"/>
        <scheme val="minor"/>
      </rPr>
      <t>sorts the contents</t>
    </r>
    <r>
      <rPr>
        <sz val="11"/>
        <color theme="1"/>
        <rFont val="Aptos Narrow"/>
        <family val="2"/>
        <scheme val="minor"/>
      </rPr>
      <t xml:space="preserve"> of a range or array in </t>
    </r>
    <r>
      <rPr>
        <b/>
        <sz val="11"/>
        <color theme="1"/>
        <rFont val="Aptos Narrow"/>
        <family val="2"/>
        <scheme val="minor"/>
      </rPr>
      <t>ascending or descending order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by one or multiple columns</t>
    </r>
    <r>
      <rPr>
        <sz val="11"/>
        <color theme="1"/>
        <rFont val="Aptos Narrow"/>
        <family val="2"/>
        <scheme val="minor"/>
      </rPr>
      <t>.</t>
    </r>
  </si>
  <si>
    <r>
      <t xml:space="preserve">It was introduced in </t>
    </r>
    <r>
      <rPr>
        <b/>
        <sz val="11"/>
        <color theme="1"/>
        <rFont val="Aptos Narrow"/>
        <family val="2"/>
        <scheme val="minor"/>
      </rPr>
      <t>Excel 365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Excel 2021</t>
    </r>
    <r>
      <rPr>
        <sz val="11"/>
        <color theme="1"/>
        <rFont val="Aptos Narrow"/>
        <family val="2"/>
        <scheme val="minor"/>
      </rPr>
      <t>.</t>
    </r>
  </si>
  <si>
    <t>SORT(array, [sort_index], [sort_order], [by_col])</t>
  </si>
  <si>
    <t>array</t>
  </si>
  <si>
    <t>The range or array to sort.</t>
  </si>
  <si>
    <t>sort_index</t>
  </si>
  <si>
    <t>The row or column number to sort by (default is 1).</t>
  </si>
  <si>
    <t>sort_order</t>
  </si>
  <si>
    <t>1 for ascending (default), -1 for descending.</t>
  </si>
  <si>
    <t>by_col</t>
  </si>
  <si>
    <t>FALSE to sort by rows (default), TRUE to sort by columns.</t>
  </si>
  <si>
    <t>✅ Sorts data dynamically</t>
  </si>
  <si>
    <t>Output updates automatically when source data changes</t>
  </si>
  <si>
    <t>🔢 Sort by multiple columns</t>
  </si>
  <si>
    <r>
      <t xml:space="preserve">Combine with </t>
    </r>
    <r>
      <rPr>
        <sz val="10"/>
        <color theme="1"/>
        <rFont val="Arial Unicode MS"/>
      </rPr>
      <t>SORTBY</t>
    </r>
    <r>
      <rPr>
        <sz val="11"/>
        <color theme="1"/>
        <rFont val="Aptos Narrow"/>
        <family val="2"/>
        <scheme val="minor"/>
      </rPr>
      <t xml:space="preserve"> or nest multiple </t>
    </r>
    <r>
      <rPr>
        <sz val="10"/>
        <color theme="1"/>
        <rFont val="Arial Unicode MS"/>
      </rPr>
      <t>SORT</t>
    </r>
  </si>
  <si>
    <t>📈 Ascending/descending order</t>
  </si>
  <si>
    <t>Use sort_order to control direction</t>
  </si>
  <si>
    <t>🔁 Row-wise or column-wise sorting</t>
  </si>
  <si>
    <r>
      <t xml:space="preserve">With </t>
    </r>
    <r>
      <rPr>
        <sz val="10"/>
        <color theme="1"/>
        <rFont val="Arial Unicode MS"/>
      </rPr>
      <t>by_col</t>
    </r>
    <r>
      <rPr>
        <sz val="11"/>
        <color theme="1"/>
        <rFont val="Aptos Narrow"/>
        <family val="2"/>
        <scheme val="minor"/>
      </rPr>
      <t xml:space="preserve"> argument</t>
    </r>
  </si>
  <si>
    <t>🚀 Spill range output</t>
  </si>
  <si>
    <t>Automatically fills down or across</t>
  </si>
  <si>
    <t>🧩 Works with formulas</t>
  </si>
  <si>
    <r>
      <t xml:space="preserve">Combine with </t>
    </r>
    <r>
      <rPr>
        <sz val="10"/>
        <color theme="1"/>
        <rFont val="Arial Unicode MS"/>
      </rPr>
      <t>FILTER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UNIQUE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XLOOKUP</t>
    </r>
  </si>
  <si>
    <t>1️⃣ Simple Sort in Ascending Order</t>
  </si>
  <si>
    <r>
      <t xml:space="preserve">If values: </t>
    </r>
    <r>
      <rPr>
        <sz val="10"/>
        <color theme="1"/>
        <rFont val="Arial Unicode MS"/>
      </rPr>
      <t>{22, 14, 35, 18}</t>
    </r>
  </si>
  <si>
    <r>
      <t xml:space="preserve">🔹 Output: </t>
    </r>
    <r>
      <rPr>
        <sz val="10"/>
        <color theme="1"/>
        <rFont val="Arial Unicode MS"/>
      </rPr>
      <t>{14, 18, 22, 35}</t>
    </r>
  </si>
  <si>
    <t>2️⃣ Sort in Descending Order</t>
  </si>
  <si>
    <r>
      <t xml:space="preserve">🔹 Output: </t>
    </r>
    <r>
      <rPr>
        <sz val="10"/>
        <color theme="1"/>
        <rFont val="Arial Unicode MS"/>
      </rPr>
      <t>{35, 22, 18, 14}</t>
    </r>
  </si>
  <si>
    <t>3️⃣ Sort by Second Column (e.g., Age)</t>
  </si>
  <si>
    <t>📊 Data:</t>
  </si>
  <si>
    <t>Jai</t>
  </si>
  <si>
    <t>Ali</t>
  </si>
  <si>
    <t>🔹 Output sorted by Age ascending.</t>
  </si>
  <si>
    <t>4️⃣ Sort Horizontally (By Column)</t>
  </si>
  <si>
    <t>🔹 Sorts row values across columns</t>
  </si>
  <si>
    <t>5️⃣ Sort with FILTER</t>
  </si>
  <si>
    <t>🔹 First filters students scoring above 80</t>
  </si>
  <si>
    <t>🔹 Then sorts them by score descending</t>
  </si>
  <si>
    <t>6️⃣ Sort Names Alphabetically</t>
  </si>
  <si>
    <t>🔹 Useful for lists like Employees, Cities, Products</t>
  </si>
  <si>
    <t>7️⃣ Sort by Multiple Columns (nested SORT)</t>
  </si>
  <si>
    <t>🔹 First sort by column 2 ascending</t>
  </si>
  <si>
    <t>🔹 Then by column 3 descending</t>
  </si>
  <si>
    <r>
      <t xml:space="preserve">Available only in </t>
    </r>
    <r>
      <rPr>
        <b/>
        <sz val="11"/>
        <color theme="1"/>
        <rFont val="Aptos Narrow"/>
        <family val="2"/>
        <scheme val="minor"/>
      </rPr>
      <t>Excel 365 / Excel 2021</t>
    </r>
  </si>
  <si>
    <r>
      <t xml:space="preserve">Returns a </t>
    </r>
    <r>
      <rPr>
        <b/>
        <sz val="11"/>
        <color theme="1"/>
        <rFont val="Aptos Narrow"/>
        <family val="2"/>
        <scheme val="minor"/>
      </rPr>
      <t>dynamic array</t>
    </r>
    <r>
      <rPr>
        <sz val="11"/>
        <color theme="1"/>
        <rFont val="Aptos Narrow"/>
        <family val="2"/>
        <scheme val="minor"/>
      </rPr>
      <t xml:space="preserve"> (make sure there's space for it)</t>
    </r>
  </si>
  <si>
    <r>
      <t xml:space="preserve">For sorting </t>
    </r>
    <r>
      <rPr>
        <b/>
        <sz val="11"/>
        <color theme="1"/>
        <rFont val="Aptos Narrow"/>
        <family val="2"/>
        <scheme val="minor"/>
      </rPr>
      <t>based on values not in the array</t>
    </r>
    <r>
      <rPr>
        <sz val="11"/>
        <color theme="1"/>
        <rFont val="Aptos Narrow"/>
        <family val="2"/>
        <scheme val="minor"/>
      </rPr>
      <t xml:space="preserve">, use </t>
    </r>
    <r>
      <rPr>
        <sz val="10"/>
        <color theme="1"/>
        <rFont val="Arial Unicode MS"/>
      </rPr>
      <t>SORTBY</t>
    </r>
  </si>
  <si>
    <t xml:space="preserve"> What is SORT Function in Excel?</t>
  </si>
  <si>
    <t>Syntax:</t>
  </si>
  <si>
    <t xml:space="preserve"> Key Features of SORT Function:</t>
  </si>
  <si>
    <t xml:space="preserve"> Use Cases with Examples</t>
  </si>
  <si>
    <t>concat</t>
  </si>
  <si>
    <t>trim</t>
  </si>
  <si>
    <t>ashwin</t>
  </si>
  <si>
    <t>gmail.com</t>
  </si>
  <si>
    <t>concatenation concat</t>
  </si>
  <si>
    <t>qqq</t>
  </si>
  <si>
    <t>ashwin@    jhdasjd    2727</t>
  </si>
  <si>
    <t>LARGER</t>
  </si>
  <si>
    <t>Sales 2023</t>
  </si>
  <si>
    <t>Goa</t>
  </si>
  <si>
    <t>Nashik</t>
  </si>
  <si>
    <t>Amit Singh</t>
  </si>
  <si>
    <t>Amol Biswas</t>
  </si>
  <si>
    <t>Amruta Chakraborty</t>
  </si>
  <si>
    <t>Anjali Chaudhary</t>
  </si>
  <si>
    <t>Anil Chauhan</t>
  </si>
  <si>
    <t>Arati Das</t>
  </si>
  <si>
    <t>Chetan Dutta</t>
  </si>
  <si>
    <t>chetna Ghosh</t>
  </si>
  <si>
    <t>Dev  Gupta</t>
  </si>
  <si>
    <t>Ganesh Jadhav</t>
  </si>
  <si>
    <t>Geeta Jain</t>
  </si>
  <si>
    <t>Hari Jha</t>
  </si>
  <si>
    <t>Harshada Kamble</t>
  </si>
  <si>
    <t>Kamlesh Kamble</t>
  </si>
  <si>
    <t>Kamlesh kaur</t>
  </si>
  <si>
    <t>Komal Verma</t>
  </si>
  <si>
    <t>Kunda Thakur</t>
  </si>
  <si>
    <t>Manali Kumari</t>
  </si>
  <si>
    <t>Mandar Lal</t>
  </si>
  <si>
    <t>Manoj Mandal</t>
  </si>
  <si>
    <t>Maya Mahajan</t>
  </si>
  <si>
    <t>.isblank(A2)</t>
  </si>
  <si>
    <t>Write in conditional formatting rules</t>
  </si>
  <si>
    <t>Use format only cell that contain select blank</t>
  </si>
  <si>
    <t>Alt+H+L+n</t>
  </si>
  <si>
    <t>Short and Clear Excel</t>
  </si>
  <si>
    <t>Shop</t>
  </si>
  <si>
    <t>Sales QTY</t>
  </si>
  <si>
    <t>Sales $</t>
  </si>
  <si>
    <t>F</t>
  </si>
  <si>
    <t>G</t>
  </si>
  <si>
    <t>H</t>
  </si>
  <si>
    <t>I</t>
  </si>
  <si>
    <t>JAN</t>
  </si>
  <si>
    <t>FEB</t>
  </si>
  <si>
    <t>MOBILE</t>
  </si>
  <si>
    <t>Student name</t>
  </si>
  <si>
    <t>Math</t>
  </si>
  <si>
    <t>Eng</t>
  </si>
  <si>
    <t>Student Name</t>
  </si>
  <si>
    <t>Vikram</t>
  </si>
  <si>
    <t>Anita</t>
  </si>
  <si>
    <t>Arjun</t>
  </si>
  <si>
    <t>Value 1</t>
  </si>
  <si>
    <t>Value2</t>
  </si>
  <si>
    <t>Value3</t>
  </si>
  <si>
    <t>Join Text</t>
  </si>
  <si>
    <t>ABC</t>
  </si>
  <si>
    <t>DEF</t>
  </si>
  <si>
    <t>GHI</t>
  </si>
  <si>
    <t>Text Formula In Excel</t>
  </si>
  <si>
    <t>DATE</t>
  </si>
  <si>
    <t>Day</t>
  </si>
  <si>
    <t>Combine Multiple Sheets Using Dynamic Vstack</t>
  </si>
  <si>
    <t>All State Data Master Sheet</t>
  </si>
  <si>
    <t>Date</t>
  </si>
  <si>
    <t>Emp Name</t>
  </si>
  <si>
    <t>Post</t>
  </si>
  <si>
    <t>Branch</t>
  </si>
  <si>
    <t>Mohan</t>
  </si>
  <si>
    <t>Sohan</t>
  </si>
  <si>
    <t>Punit</t>
  </si>
  <si>
    <t>Sunit</t>
  </si>
  <si>
    <t>Anit</t>
  </si>
  <si>
    <t>Komal</t>
  </si>
  <si>
    <t>Khushbu</t>
  </si>
  <si>
    <t>Manager</t>
  </si>
  <si>
    <t>Marketing Manager</t>
  </si>
  <si>
    <t>Washim</t>
  </si>
  <si>
    <t>Katol</t>
  </si>
  <si>
    <t>Bhandara</t>
  </si>
  <si>
    <t>Sales Manager</t>
  </si>
  <si>
    <t>SalesHead</t>
  </si>
  <si>
    <t>Finance Manager</t>
  </si>
  <si>
    <t>Convert all data in table format first</t>
  </si>
  <si>
    <t>Vertically Align Data</t>
  </si>
  <si>
    <t>Horizontally Align Data</t>
  </si>
  <si>
    <t>WRAPCOLS Function</t>
  </si>
  <si>
    <t>Cherry</t>
  </si>
  <si>
    <t>Dates</t>
  </si>
  <si>
    <t>Elderberry</t>
  </si>
  <si>
    <t>Fig</t>
  </si>
  <si>
    <t>Take Function</t>
  </si>
  <si>
    <t>Grade</t>
  </si>
  <si>
    <t>A+</t>
  </si>
  <si>
    <t>Seema</t>
  </si>
  <si>
    <t>Numbers</t>
  </si>
  <si>
    <t>4.5,5,6,7,8,9,10</t>
  </si>
  <si>
    <t>4.74,5,3,2,1,5,6,7,8,0</t>
  </si>
  <si>
    <t>4.67,67,6,4,3,2,3,4,8</t>
  </si>
  <si>
    <t>6.79,5,4,3,2,4,5,6,8,9,0</t>
  </si>
  <si>
    <t>9,8,9,6,5,4,3,4,5,7,8,9,4,</t>
  </si>
  <si>
    <t>Sr. No.</t>
  </si>
  <si>
    <t>Narendra</t>
  </si>
  <si>
    <t>Raj</t>
  </si>
  <si>
    <t>Uddhav</t>
  </si>
  <si>
    <t>Sonia</t>
  </si>
  <si>
    <t>Id</t>
  </si>
  <si>
    <t>a</t>
  </si>
  <si>
    <t>d</t>
  </si>
  <si>
    <t>f</t>
  </si>
  <si>
    <t>g</t>
  </si>
  <si>
    <t>RAHUL</t>
  </si>
  <si>
    <t>a11</t>
  </si>
  <si>
    <t>adjgasjdgasjdgajha</t>
  </si>
  <si>
    <t>CEILING &amp; FLOOR Function</t>
  </si>
  <si>
    <t>Ceiling</t>
  </si>
  <si>
    <t>Floor</t>
  </si>
  <si>
    <r>
      <t xml:space="preserve">The </t>
    </r>
    <r>
      <rPr>
        <b/>
        <sz val="10"/>
        <color theme="1"/>
        <rFont val="Arial Unicode MS"/>
      </rPr>
      <t>CEILING</t>
    </r>
    <r>
      <rPr>
        <b/>
        <sz val="11"/>
        <color theme="1"/>
        <rFont val="Aptos Narrow"/>
        <family val="2"/>
        <scheme val="minor"/>
      </rPr>
      <t xml:space="preserve"> function</t>
    </r>
    <r>
      <rPr>
        <sz val="11"/>
        <color theme="1"/>
        <rFont val="Aptos Narrow"/>
        <family val="2"/>
        <scheme val="minor"/>
      </rPr>
      <t xml:space="preserve"> in Excel is a </t>
    </r>
    <r>
      <rPr>
        <b/>
        <sz val="11"/>
        <color theme="1"/>
        <rFont val="Aptos Narrow"/>
        <family val="2"/>
        <scheme val="minor"/>
      </rPr>
      <t>Math &amp; Trig function</t>
    </r>
    <r>
      <rPr>
        <sz val="11"/>
        <color theme="1"/>
        <rFont val="Aptos Narrow"/>
        <family val="2"/>
        <scheme val="minor"/>
      </rPr>
      <t xml:space="preserve"> used to </t>
    </r>
    <r>
      <rPr>
        <b/>
        <sz val="11"/>
        <color theme="1"/>
        <rFont val="Aptos Narrow"/>
        <family val="2"/>
        <scheme val="minor"/>
      </rPr>
      <t>round a number up</t>
    </r>
    <r>
      <rPr>
        <sz val="11"/>
        <color theme="1"/>
        <rFont val="Aptos Narrow"/>
        <family val="2"/>
        <scheme val="minor"/>
      </rPr>
      <t xml:space="preserve"> (away from zero) to the nearest multiple of a specified significance.</t>
    </r>
  </si>
  <si>
    <t>number</t>
  </si>
  <si>
    <t>The value you want to round.</t>
  </si>
  <si>
    <t>significance</t>
  </si>
  <si>
    <t>The multiple to round up to.</t>
  </si>
  <si>
    <r>
      <t xml:space="preserve">🔼 Always rounds </t>
    </r>
    <r>
      <rPr>
        <b/>
        <sz val="11"/>
        <color theme="1"/>
        <rFont val="Aptos Narrow"/>
        <family val="2"/>
        <scheme val="minor"/>
      </rPr>
      <t>up</t>
    </r>
  </si>
  <si>
    <r>
      <t xml:space="preserve">Unlike </t>
    </r>
    <r>
      <rPr>
        <sz val="10"/>
        <color theme="1"/>
        <rFont val="Arial Unicode MS"/>
      </rPr>
      <t>FLOOR</t>
    </r>
    <r>
      <rPr>
        <sz val="11"/>
        <color theme="1"/>
        <rFont val="Aptos Narrow"/>
        <family val="2"/>
        <scheme val="minor"/>
      </rPr>
      <t>, which rounds down.</t>
    </r>
  </si>
  <si>
    <t>🔢 Works with integers &amp; decimals</t>
  </si>
  <si>
    <t>Can round currency, measurements, percentages, etc.</t>
  </si>
  <si>
    <t>📏 Custom significance</t>
  </si>
  <si>
    <t>Choose the multiple (e.g., 1, 5, 10, 0.5, 0.01).</t>
  </si>
  <si>
    <t>➕/➖ Handles positive &amp; negative numbers</t>
  </si>
  <si>
    <t>Rounding direction depends on number sign.</t>
  </si>
  <si>
    <t>📊 Useful in business &amp; finance</t>
  </si>
  <si>
    <t>Salary brackets, packaging, tax calculations.</t>
  </si>
  <si>
    <t>🧮 Variant functions</t>
  </si>
  <si>
    <r>
      <t>CEILING.MATH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CEILING.PRECISE</t>
    </r>
    <r>
      <rPr>
        <sz val="11"/>
        <color theme="1"/>
        <rFont val="Aptos Narrow"/>
        <family val="2"/>
        <scheme val="minor"/>
      </rPr>
      <t xml:space="preserve"> (newer Excel versions).</t>
    </r>
  </si>
  <si>
    <r>
      <t xml:space="preserve">🔹 Output: </t>
    </r>
    <r>
      <rPr>
        <sz val="10"/>
        <color theme="1"/>
        <rFont val="Arial Unicode MS"/>
      </rPr>
      <t>5</t>
    </r>
  </si>
  <si>
    <t>2️⃣ Round Up to Nearest 5</t>
  </si>
  <si>
    <r>
      <t xml:space="preserve">🔹 Output: </t>
    </r>
    <r>
      <rPr>
        <sz val="10"/>
        <color theme="1"/>
        <rFont val="Arial Unicode MS"/>
      </rPr>
      <t>15</t>
    </r>
  </si>
  <si>
    <t>🧠 13 rounded up to next multiple of 5.</t>
  </si>
  <si>
    <t>3️⃣ Round Up to Nearest 10</t>
  </si>
  <si>
    <r>
      <t xml:space="preserve">🔹 Output: </t>
    </r>
    <r>
      <rPr>
        <sz val="10"/>
        <color theme="1"/>
        <rFont val="Arial Unicode MS"/>
      </rPr>
      <t>50</t>
    </r>
  </si>
  <si>
    <t>4️⃣ Round Up to Decimal Places</t>
  </si>
  <si>
    <r>
      <t xml:space="preserve">🔹 Output: </t>
    </r>
    <r>
      <rPr>
        <sz val="10"/>
        <color theme="1"/>
        <rFont val="Arial Unicode MS"/>
      </rPr>
      <t>4.3</t>
    </r>
  </si>
  <si>
    <t>5️⃣ Round Up to Nearest 0.25 (Quarter Dollar)</t>
  </si>
  <si>
    <r>
      <t xml:space="preserve">🔹 Output: </t>
    </r>
    <r>
      <rPr>
        <sz val="10"/>
        <color theme="1"/>
        <rFont val="Arial Unicode MS"/>
      </rPr>
      <t>5.25</t>
    </r>
  </si>
  <si>
    <t>💰 Useful for currency rounding.</t>
  </si>
  <si>
    <t>6️⃣ Round Up to Nearest 0.01 (Cents)</t>
  </si>
  <si>
    <r>
      <t xml:space="preserve">🔹 Output: </t>
    </r>
    <r>
      <rPr>
        <sz val="10"/>
        <color theme="1"/>
        <rFont val="Arial Unicode MS"/>
      </rPr>
      <t>12.35</t>
    </r>
  </si>
  <si>
    <t>7️⃣ Negative Number with CEILING</t>
  </si>
  <si>
    <r>
      <t xml:space="preserve">🔹 Output: </t>
    </r>
    <r>
      <rPr>
        <sz val="10"/>
        <color theme="1"/>
        <rFont val="Arial Unicode MS"/>
      </rPr>
      <t>-4</t>
    </r>
    <r>
      <rPr>
        <sz val="11"/>
        <color theme="1"/>
        <rFont val="Aptos Narrow"/>
        <family val="2"/>
        <scheme val="minor"/>
      </rPr>
      <t xml:space="preserve"> (rounds </t>
    </r>
    <r>
      <rPr>
        <i/>
        <sz val="11"/>
        <color theme="1"/>
        <rFont val="Aptos Narrow"/>
        <family val="2"/>
        <scheme val="minor"/>
      </rPr>
      <t>towards zero</t>
    </r>
    <r>
      <rPr>
        <sz val="11"/>
        <color theme="1"/>
        <rFont val="Aptos Narrow"/>
        <family val="2"/>
        <scheme val="minor"/>
      </rPr>
      <t>)</t>
    </r>
  </si>
  <si>
    <t>8️⃣ Packaging Example (Boxes of 6 Items)</t>
  </si>
  <si>
    <t>If you sell items in packs of 6 and someone buys 25:</t>
  </si>
  <si>
    <r>
      <t xml:space="preserve">🔹 Output: </t>
    </r>
    <r>
      <rPr>
        <sz val="10"/>
        <color theme="1"/>
        <rFont val="Arial Unicode MS"/>
      </rPr>
      <t>30</t>
    </r>
  </si>
  <si>
    <t>📦 Customer needs 30 items (5 packs).</t>
  </si>
  <si>
    <t>9️⃣ Salary Increment Example</t>
  </si>
  <si>
    <t>Employee salaries must be rounded up to nearest ₹500:</t>
  </si>
  <si>
    <r>
      <t xml:space="preserve">🔹 Output: </t>
    </r>
    <r>
      <rPr>
        <sz val="10"/>
        <color theme="1"/>
        <rFont val="Arial Unicode MS"/>
      </rPr>
      <t>27000</t>
    </r>
  </si>
  <si>
    <t>🔟 Tax Calculation Example</t>
  </si>
  <si>
    <t>Tax applies in multiples of ₹100:</t>
  </si>
  <si>
    <r>
      <t xml:space="preserve">🔹 Output: </t>
    </r>
    <r>
      <rPr>
        <sz val="10"/>
        <color theme="1"/>
        <rFont val="Arial Unicode MS"/>
      </rPr>
      <t>4600</t>
    </r>
  </si>
  <si>
    <t>🔄 CEILING vs Related Functions</t>
  </si>
  <si>
    <t>Rounds</t>
  </si>
  <si>
    <t>Direction</t>
  </si>
  <si>
    <t>CEILING</t>
  </si>
  <si>
    <t>Up</t>
  </si>
  <si>
    <t>Away from zero</t>
  </si>
  <si>
    <t>FLOOR</t>
  </si>
  <si>
    <t>Down</t>
  </si>
  <si>
    <t>Toward zero</t>
  </si>
  <si>
    <t>ROUNDUP</t>
  </si>
  <si>
    <t>Based on decimal places</t>
  </si>
  <si>
    <t>ROUNDDOWN</t>
  </si>
  <si>
    <t>CEILING.MATH</t>
  </si>
  <si>
    <t>Flexible</t>
  </si>
  <si>
    <t>Can control direction for negatives</t>
  </si>
  <si>
    <t>CEILING.PRECISE</t>
  </si>
  <si>
    <t>Always rounds up (ignores sign)</t>
  </si>
  <si>
    <t>Meaning</t>
  </si>
  <si>
    <t>Round up to nearest integer</t>
  </si>
  <si>
    <t>Round up to nearest multiple of 5</t>
  </si>
  <si>
    <t>Round up to nearest multiple of 10</t>
  </si>
  <si>
    <t>Round up to nearest tenth</t>
  </si>
  <si>
    <t>Round up to nearest quarter</t>
  </si>
  <si>
    <t>Round up salary to nearest 500</t>
  </si>
  <si>
    <t xml:space="preserve"> What is CEILING Function in Excel?</t>
  </si>
  <si>
    <t xml:space="preserve"> Think of it as “rounding UP to the nearest specified step.”</t>
  </si>
  <si>
    <t xml:space="preserve"> Key Features of CEILING Function:</t>
  </si>
  <si>
    <t xml:space="preserve"> Round Up to Nearest Integer</t>
  </si>
  <si>
    <t xml:space="preserve"> Rounds 4.2 up to nearest 1.</t>
  </si>
  <si>
    <t xml:space="preserve"> Summary Table</t>
  </si>
  <si>
    <t>Floor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</si>
</sst>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_-[$$-409]* #,##0.00_ ;_-[$$-409]* \-#,##0.00\ ;_-[$$-409]* &quot;-&quot;??_ ;_-@_ "/>
  </numFmts>
  <fonts count="49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28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sz val="10"/>
      <color theme="1"/>
      <name val="Arial Unicode MS"/>
      <charset val="134"/>
    </font>
    <font>
      <b/>
      <sz val="22"/>
      <color theme="1"/>
      <name val="Aptos Narrow"/>
      <charset val="134"/>
      <scheme val="minor"/>
    </font>
    <font>
      <b/>
      <sz val="24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b/>
      <sz val="26"/>
      <color theme="1"/>
      <name val="Aptos Narrow"/>
      <charset val="134"/>
      <scheme val="minor"/>
    </font>
    <font>
      <sz val="28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Wingdings"/>
      <charset val="2"/>
    </font>
    <font>
      <b/>
      <sz val="18"/>
      <color rgb="FFFF0000"/>
      <name val="Aptos Narrow"/>
      <charset val="134"/>
      <scheme val="minor"/>
    </font>
    <font>
      <b/>
      <sz val="20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b/>
      <sz val="10"/>
      <color theme="1"/>
      <name val="Arial Unicode MS"/>
      <charset val="134"/>
    </font>
    <font>
      <sz val="22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6"/>
      <color theme="0"/>
      <name val="Aptos Narrow"/>
      <charset val="134"/>
      <scheme val="minor"/>
    </font>
    <font>
      <b/>
      <sz val="16"/>
      <color theme="0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b/>
      <sz val="36"/>
      <color theme="1"/>
      <name val="Aptos Narrow"/>
      <charset val="134"/>
      <scheme val="minor"/>
    </font>
    <font>
      <sz val="12"/>
      <color rgb="FF000000"/>
      <name val="Cambria"/>
      <charset val="134"/>
    </font>
    <font>
      <i/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u/>
      <sz val="11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202">
    <xf numFmtId="0" fontId="0" fillId="0" borderId="0" xfId="0"/>
    <xf numFmtId="0" fontId="7" fillId="0" borderId="1" xfId="0" applyFont="1" applyBorder="1"/>
    <xf numFmtId="3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9" fontId="0" fillId="0" borderId="1" xfId="0" applyNumberFormat="1" applyBorder="1"/>
    <xf numFmtId="0" fontId="8" fillId="0" borderId="0" xfId="0" applyFont="1"/>
    <xf numFmtId="0" fontId="0" fillId="0" borderId="1" xfId="0" applyBorder="1" applyAlignment="1">
      <alignment horizontal="center" vertical="center"/>
    </xf>
    <xf numFmtId="8" fontId="0" fillId="0" borderId="1" xfId="0" applyNumberFormat="1" applyBorder="1"/>
    <xf numFmtId="0" fontId="0" fillId="0" borderId="1" xfId="0" applyBorder="1"/>
    <xf numFmtId="0" fontId="7" fillId="0" borderId="0" xfId="0" applyFont="1"/>
    <xf numFmtId="0" fontId="0" fillId="3" borderId="1" xfId="0" applyFill="1" applyBorder="1"/>
    <xf numFmtId="0" fontId="8" fillId="0" borderId="1" xfId="0" applyFont="1" applyBorder="1"/>
    <xf numFmtId="0" fontId="9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14" fillId="0" borderId="1" xfId="0" applyFont="1" applyBorder="1"/>
    <xf numFmtId="164" fontId="7" fillId="0" borderId="1" xfId="0" applyNumberFormat="1" applyFont="1" applyBorder="1"/>
    <xf numFmtId="0" fontId="10" fillId="0" borderId="1" xfId="0" applyFont="1" applyBorder="1"/>
    <xf numFmtId="4" fontId="7" fillId="0" borderId="1" xfId="0" applyNumberFormat="1" applyFont="1" applyBorder="1"/>
    <xf numFmtId="10" fontId="7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1" xfId="0" applyFont="1" applyBorder="1"/>
    <xf numFmtId="10" fontId="17" fillId="0" borderId="1" xfId="0" applyNumberFormat="1" applyFont="1" applyBorder="1"/>
    <xf numFmtId="0" fontId="7" fillId="6" borderId="0" xfId="0" applyFont="1" applyFill="1" applyAlignment="1">
      <alignment horizontal="center"/>
    </xf>
    <xf numFmtId="0" fontId="11" fillId="0" borderId="0" xfId="0" applyFont="1" applyAlignment="1">
      <alignment horizontal="left" vertical="center" indent="2"/>
    </xf>
    <xf numFmtId="8" fontId="11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7" fillId="2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/>
    </xf>
    <xf numFmtId="0" fontId="8" fillId="12" borderId="1" xfId="0" applyFont="1" applyFill="1" applyBorder="1"/>
    <xf numFmtId="0" fontId="8" fillId="13" borderId="1" xfId="0" applyFont="1" applyFill="1" applyBorder="1"/>
    <xf numFmtId="0" fontId="8" fillId="0" borderId="1" xfId="0" applyFont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1" xfId="0" applyFont="1" applyBorder="1"/>
    <xf numFmtId="0" fontId="7" fillId="0" borderId="0" xfId="0" applyFont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0" fillId="0" borderId="3" xfId="0" applyBorder="1"/>
    <xf numFmtId="164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23" fillId="0" borderId="0" xfId="1"/>
    <xf numFmtId="0" fontId="24" fillId="0" borderId="0" xfId="0" applyFont="1" applyAlignment="1">
      <alignment horizontal="center" vertical="center" wrapText="1"/>
    </xf>
    <xf numFmtId="0" fontId="7" fillId="7" borderId="1" xfId="0" applyFont="1" applyFill="1" applyBorder="1"/>
    <xf numFmtId="0" fontId="8" fillId="7" borderId="1" xfId="0" applyFont="1" applyFill="1" applyBorder="1"/>
    <xf numFmtId="0" fontId="7" fillId="16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26" fillId="20" borderId="1" xfId="0" applyFont="1" applyFill="1" applyBorder="1" applyAlignment="1">
      <alignment horizontal="center"/>
    </xf>
    <xf numFmtId="0" fontId="27" fillId="20" borderId="0" xfId="0" applyFont="1" applyFill="1"/>
    <xf numFmtId="0" fontId="7" fillId="18" borderId="1" xfId="0" applyFont="1" applyFill="1" applyBorder="1"/>
    <xf numFmtId="0" fontId="7" fillId="17" borderId="1" xfId="0" applyFont="1" applyFill="1" applyBorder="1"/>
    <xf numFmtId="0" fontId="7" fillId="17" borderId="1" xfId="0" applyFont="1" applyFill="1" applyBorder="1" applyAlignment="1">
      <alignment horizontal="center"/>
    </xf>
    <xf numFmtId="0" fontId="26" fillId="21" borderId="1" xfId="0" applyFont="1" applyFill="1" applyBorder="1"/>
    <xf numFmtId="0" fontId="30" fillId="0" borderId="1" xfId="0" applyFont="1" applyBorder="1" applyAlignment="1">
      <alignment horizontal="center"/>
    </xf>
    <xf numFmtId="0" fontId="0" fillId="0" borderId="4" xfId="0" applyBorder="1"/>
    <xf numFmtId="0" fontId="0" fillId="7" borderId="1" xfId="0" applyFill="1" applyBorder="1"/>
    <xf numFmtId="0" fontId="32" fillId="0" borderId="1" xfId="0" applyFont="1" applyBorder="1"/>
    <xf numFmtId="0" fontId="7" fillId="23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32" fillId="0" borderId="0" xfId="0" applyFont="1"/>
    <xf numFmtId="0" fontId="0" fillId="0" borderId="0" xfId="0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5" fillId="7" borderId="1" xfId="0" applyFont="1" applyFill="1" applyBorder="1"/>
    <xf numFmtId="0" fontId="34" fillId="0" borderId="1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1" fillId="0" borderId="0" xfId="0" applyFont="1" applyAlignment="1">
      <alignment horizontal="left" vertical="center" inden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8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34" fillId="18" borderId="1" xfId="0" applyFont="1" applyFill="1" applyBorder="1" applyAlignment="1">
      <alignment horizontal="center"/>
    </xf>
    <xf numFmtId="0" fontId="43" fillId="0" borderId="1" xfId="1" applyFont="1" applyBorder="1" applyAlignment="1">
      <alignment horizontal="center"/>
    </xf>
    <xf numFmtId="0" fontId="42" fillId="0" borderId="0" xfId="0" applyFont="1"/>
    <xf numFmtId="0" fontId="42" fillId="0" borderId="0" xfId="0" applyFont="1" applyAlignment="1">
      <alignment vertical="center" wrapText="1"/>
    </xf>
    <xf numFmtId="0" fontId="7" fillId="6" borderId="5" xfId="0" applyFont="1" applyFill="1" applyBorder="1" applyAlignment="1">
      <alignment horizontal="center"/>
    </xf>
    <xf numFmtId="14" fontId="0" fillId="0" borderId="0" xfId="0" applyNumberFormat="1"/>
    <xf numFmtId="0" fontId="4" fillId="0" borderId="0" xfId="0" applyFont="1"/>
    <xf numFmtId="0" fontId="4" fillId="0" borderId="1" xfId="0" applyFont="1" applyBorder="1"/>
    <xf numFmtId="0" fontId="4" fillId="0" borderId="4" xfId="0" applyFont="1" applyBorder="1"/>
    <xf numFmtId="0" fontId="4" fillId="0" borderId="1" xfId="0" applyFont="1" applyBorder="1" applyAlignment="1">
      <alignment horizontal="center"/>
    </xf>
    <xf numFmtId="0" fontId="39" fillId="8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/>
    </xf>
    <xf numFmtId="14" fontId="4" fillId="0" borderId="1" xfId="0" applyNumberFormat="1" applyFont="1" applyBorder="1"/>
    <xf numFmtId="14" fontId="0" fillId="0" borderId="1" xfId="0" applyNumberFormat="1" applyBorder="1"/>
    <xf numFmtId="0" fontId="4" fillId="18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0" fillId="0" borderId="3" xfId="0" applyNumberFormat="1" applyBorder="1"/>
    <xf numFmtId="0" fontId="0" fillId="0" borderId="2" xfId="0" applyBorder="1"/>
    <xf numFmtId="0" fontId="4" fillId="18" borderId="9" xfId="0" applyFont="1" applyFill="1" applyBorder="1" applyAlignment="1">
      <alignment horizontal="center"/>
    </xf>
    <xf numFmtId="0" fontId="4" fillId="18" borderId="4" xfId="0" applyFont="1" applyFill="1" applyBorder="1" applyAlignment="1">
      <alignment horizontal="center"/>
    </xf>
    <xf numFmtId="0" fontId="4" fillId="18" borderId="10" xfId="0" applyFont="1" applyFill="1" applyBorder="1" applyAlignment="1">
      <alignment horizontal="center"/>
    </xf>
    <xf numFmtId="14" fontId="0" fillId="0" borderId="11" xfId="0" applyNumberFormat="1" applyBorder="1"/>
    <xf numFmtId="0" fontId="4" fillId="0" borderId="8" xfId="0" applyFont="1" applyBorder="1"/>
    <xf numFmtId="0" fontId="0" fillId="0" borderId="12" xfId="0" applyBorder="1"/>
    <xf numFmtId="14" fontId="4" fillId="18" borderId="1" xfId="0" applyNumberFormat="1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4" fillId="9" borderId="1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/>
    <xf numFmtId="0" fontId="34" fillId="24" borderId="1" xfId="0" applyFont="1" applyFill="1" applyBorder="1" applyAlignment="1">
      <alignment horizontal="center" vertical="top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4" fillId="7" borderId="2" xfId="0" applyFont="1" applyFill="1" applyBorder="1" applyAlignment="1">
      <alignment horizontal="center"/>
    </xf>
    <xf numFmtId="0" fontId="44" fillId="7" borderId="7" xfId="0" applyFont="1" applyFill="1" applyBorder="1" applyAlignment="1">
      <alignment horizontal="center"/>
    </xf>
    <xf numFmtId="0" fontId="44" fillId="7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26" fillId="18" borderId="0" xfId="0" applyFont="1" applyFill="1" applyAlignment="1">
      <alignment horizontal="center"/>
    </xf>
    <xf numFmtId="0" fontId="26" fillId="8" borderId="6" xfId="0" applyFont="1" applyFill="1" applyBorder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28" fillId="22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29" fillId="18" borderId="0" xfId="0" applyFont="1" applyFill="1" applyAlignment="1">
      <alignment horizontal="center"/>
    </xf>
    <xf numFmtId="0" fontId="28" fillId="18" borderId="0" xfId="0" applyFont="1" applyFill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8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2" fillId="15" borderId="1" xfId="0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1" fillId="16" borderId="0" xfId="0" applyFont="1" applyFill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6" fillId="18" borderId="0" xfId="0" applyFont="1" applyFill="1" applyAlignment="1">
      <alignment horizontal="center"/>
    </xf>
    <xf numFmtId="0" fontId="34" fillId="8" borderId="1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7" fillId="15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36" fillId="24" borderId="1" xfId="0" applyFont="1" applyFill="1" applyBorder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46" fillId="12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36" fillId="8" borderId="0" xfId="0" applyFont="1" applyFill="1" applyAlignment="1">
      <alignment horizontal="center" vertical="center"/>
    </xf>
    <xf numFmtId="0" fontId="35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36" fillId="9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/>
    </xf>
    <xf numFmtId="0" fontId="36" fillId="25" borderId="0" xfId="0" applyFont="1" applyFill="1" applyAlignment="1">
      <alignment horizontal="center" vertical="center"/>
    </xf>
    <xf numFmtId="0" fontId="47" fillId="2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microsoft.com/office/2017/06/relationships/rdRichValueTypes" Target="richData/rdRichValueTyp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sheetMetadata" Target="metadata.xml"/><Relationship Id="rId86" Type="http://www.wps.cn/officeDocument/2023/relationships/customStorage" Target="customStorage/customStorag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microsoft.com/office/2017/06/relationships/rdRichValue" Target="richData/rdrichvalue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2</v>
    <v>8</v>
    <v>0</v>
    <v>6</v>
  </rv>
  <rv s="0">
    <v>1</v>
    <v>8</v>
    <v>2</v>
    <v>1</v>
  </rv>
  <rv s="1">
    <v>13</v>
    <v>24</v>
  </rv>
  <rv s="0">
    <v>0</v>
    <v>8</v>
    <v>3</v>
    <v>1</v>
  </rv>
  <rv s="0">
    <v>0</v>
    <v>8</v>
    <v>4</v>
    <v>1</v>
  </rv>
  <rv s="0">
    <v>1</v>
    <v>8</v>
    <v>4</v>
    <v>1</v>
  </rv>
  <rv s="0">
    <v>1</v>
    <v>8</v>
    <v>6</v>
    <v>1</v>
  </rv>
  <rv s="0">
    <v>0</v>
    <v>8</v>
    <v>8</v>
    <v>1</v>
  </rv>
  <rv s="0">
    <v>2</v>
    <v>8</v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BC530-2E39-49AA-9E74-A14872CD9B70}" name="Table1" displayName="Table1" ref="A1:E16" totalsRowShown="0" headerRowDxfId="21" headerRowBorderDxfId="20" tableBorderDxfId="19" totalsRowBorderDxfId="18">
  <autoFilter ref="A1:E16" xr:uid="{66DBC530-2E39-49AA-9E74-A14872CD9B70}"/>
  <tableColumns count="5">
    <tableColumn id="1" xr3:uid="{C240A9DE-8663-4FFA-8891-95BC6740E435}" name="Date" dataDxfId="17"/>
    <tableColumn id="2" xr3:uid="{26E3C4D0-7BBC-4A39-8174-0A889A9B3FAC}" name="Emp Name" dataDxfId="16"/>
    <tableColumn id="3" xr3:uid="{C47FA380-8658-4DB4-9010-0746FF96BC74}" name="Post" dataDxfId="15"/>
    <tableColumn id="4" xr3:uid="{A09A32A3-9C92-4286-B74A-99DA7CAAF959}" name="Branch" dataDxfId="14"/>
    <tableColumn id="5" xr3:uid="{6D8E71E6-C80D-44F1-A2DE-F1192C2ABF44}" name="Salar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60EFD2-ECE8-4935-8AC9-0D4AA91DDF4C}" name="Table2" displayName="Table2" ref="A1:E16" totalsRowShown="0" headerRowDxfId="12" headerRowBorderDxfId="11" tableBorderDxfId="10" totalsRowBorderDxfId="9">
  <autoFilter ref="A1:E16" xr:uid="{7460EFD2-ECE8-4935-8AC9-0D4AA91DDF4C}"/>
  <tableColumns count="5">
    <tableColumn id="1" xr3:uid="{C5A500DE-5745-4CE4-94F8-EA71254A5339}" name="Date" dataDxfId="8"/>
    <tableColumn id="2" xr3:uid="{2099C166-7D0F-4177-9D78-FF0D6DBC866F}" name="Emp Name" dataDxfId="7"/>
    <tableColumn id="3" xr3:uid="{0562DE96-DAE4-4663-96FD-847E2BB9278D}" name="Post" dataDxfId="6"/>
    <tableColumn id="4" xr3:uid="{C444D77B-5D6C-487D-8954-C33294183857}" name="Branch" dataDxfId="5"/>
    <tableColumn id="5" xr3:uid="{5918510A-8956-41B9-9894-5B5FD88960D0}" name="Salar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shwin@%20%20%20%20jhdasjd%20%20%20%202727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hyperlink" Target="mailto:Michael@Brown" TargetMode="External"/><Relationship Id="rId1" Type="http://schemas.openxmlformats.org/officeDocument/2006/relationships/hyperlink" Target="mailto:~John*Doe@%22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hyperlink" Target="mailto:Kaku1999@gmail.com" TargetMode="External"/><Relationship Id="rId2" Type="http://schemas.openxmlformats.org/officeDocument/2006/relationships/hyperlink" Target="mailto:Jani2000@gmail.com" TargetMode="External"/><Relationship Id="rId1" Type="http://schemas.openxmlformats.org/officeDocument/2006/relationships/hyperlink" Target="mailto:Kimi2001@gmail.com" TargetMode="External"/><Relationship Id="rId6" Type="http://schemas.openxmlformats.org/officeDocument/2006/relationships/hyperlink" Target="mailto:Kiran1996@gmail.com" TargetMode="External"/><Relationship Id="rId5" Type="http://schemas.openxmlformats.org/officeDocument/2006/relationships/hyperlink" Target="mailto:Kaushal1997@gmail.com" TargetMode="External"/><Relationship Id="rId4" Type="http://schemas.openxmlformats.org/officeDocument/2006/relationships/hyperlink" Target="mailto:Riya1996@gmail.com" TargetMode="Externa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opLeftCell="C1" workbookViewId="0">
      <selection activeCell="A5" sqref="A5"/>
    </sheetView>
  </sheetViews>
  <sheetFormatPr defaultColWidth="9" defaultRowHeight="14.4"/>
  <cols>
    <col min="1" max="1" width="16.109375" customWidth="1"/>
  </cols>
  <sheetData>
    <row r="1" spans="1:3" ht="15">
      <c r="A1" s="82">
        <v>7654045</v>
      </c>
      <c r="C1" s="82" cm="1">
        <f t="array" ref="C1">SUM(--MID(A1,_xlfn.SEQUENCE(LEN(A1)),1))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B0D4-9E45-479A-9606-35D91DD329EF}">
  <dimension ref="A1:F23"/>
  <sheetViews>
    <sheetView workbookViewId="0">
      <selection activeCell="I20" sqref="I20"/>
    </sheetView>
  </sheetViews>
  <sheetFormatPr defaultRowHeight="14.4"/>
  <cols>
    <col min="1" max="4" width="25" customWidth="1"/>
    <col min="5" max="5" width="27.6640625" customWidth="1"/>
  </cols>
  <sheetData>
    <row r="1" spans="1:6" ht="15">
      <c r="A1" s="84" t="s">
        <v>1102</v>
      </c>
      <c r="B1" s="84" t="s">
        <v>1103</v>
      </c>
      <c r="C1" s="84" t="s">
        <v>169</v>
      </c>
      <c r="D1" s="84" t="s">
        <v>967</v>
      </c>
      <c r="E1" s="84" t="s">
        <v>1104</v>
      </c>
      <c r="F1" s="86" t="s">
        <v>169</v>
      </c>
    </row>
    <row r="2" spans="1:6" ht="15">
      <c r="A2" s="7" t="s">
        <v>1105</v>
      </c>
      <c r="B2" s="7" t="s">
        <v>22</v>
      </c>
      <c r="C2" s="7" t="s">
        <v>290</v>
      </c>
      <c r="D2" s="7">
        <v>17582</v>
      </c>
      <c r="E2" s="85" t="s">
        <v>1109</v>
      </c>
      <c r="F2" s="86" t="s">
        <v>290</v>
      </c>
    </row>
    <row r="3" spans="1:6">
      <c r="A3" s="7" t="s">
        <v>14</v>
      </c>
      <c r="B3" s="7" t="s">
        <v>1109</v>
      </c>
      <c r="C3" s="7" t="s">
        <v>1112</v>
      </c>
      <c r="D3" s="7">
        <v>49555</v>
      </c>
      <c r="E3" s="7"/>
    </row>
    <row r="4" spans="1:6">
      <c r="A4" s="7" t="s">
        <v>93</v>
      </c>
      <c r="B4" s="7" t="s">
        <v>1110</v>
      </c>
      <c r="C4" s="7" t="s">
        <v>297</v>
      </c>
      <c r="D4" s="7">
        <v>10877</v>
      </c>
      <c r="E4" s="7"/>
    </row>
    <row r="5" spans="1:6">
      <c r="A5" s="7" t="s">
        <v>91</v>
      </c>
      <c r="B5" s="7" t="s">
        <v>18</v>
      </c>
      <c r="C5" s="7" t="s">
        <v>300</v>
      </c>
      <c r="D5" s="7">
        <v>46485</v>
      </c>
      <c r="E5" s="7"/>
    </row>
    <row r="6" spans="1:6">
      <c r="A6" s="7" t="s">
        <v>90</v>
      </c>
      <c r="B6" s="7" t="s">
        <v>22</v>
      </c>
      <c r="C6" s="7" t="s">
        <v>122</v>
      </c>
      <c r="D6" s="7">
        <v>23494</v>
      </c>
      <c r="E6" s="7"/>
    </row>
    <row r="7" spans="1:6">
      <c r="A7" s="7" t="s">
        <v>1106</v>
      </c>
      <c r="B7" s="7" t="s">
        <v>1111</v>
      </c>
      <c r="C7" s="7" t="s">
        <v>973</v>
      </c>
      <c r="D7" s="7">
        <v>39525</v>
      </c>
      <c r="E7" s="7"/>
    </row>
    <row r="8" spans="1:6">
      <c r="A8" s="7" t="s">
        <v>325</v>
      </c>
      <c r="B8" s="7" t="s">
        <v>1110</v>
      </c>
      <c r="C8" s="7" t="s">
        <v>970</v>
      </c>
      <c r="D8" s="7">
        <v>20336</v>
      </c>
      <c r="E8" s="7"/>
    </row>
    <row r="9" spans="1:6">
      <c r="A9" s="7" t="s">
        <v>1107</v>
      </c>
      <c r="B9" s="7" t="s">
        <v>18</v>
      </c>
      <c r="C9" s="7" t="s">
        <v>1113</v>
      </c>
      <c r="D9" s="7">
        <v>25110</v>
      </c>
      <c r="E9" s="7"/>
    </row>
    <row r="10" spans="1:6">
      <c r="A10" s="7" t="s">
        <v>1108</v>
      </c>
      <c r="B10" s="7" t="s">
        <v>22</v>
      </c>
      <c r="C10" s="7" t="s">
        <v>972</v>
      </c>
      <c r="D10" s="7">
        <v>47071</v>
      </c>
      <c r="E10" s="7"/>
    </row>
    <row r="11" spans="1:6">
      <c r="A11" s="7" t="s">
        <v>94</v>
      </c>
      <c r="B11" s="7" t="s">
        <v>13</v>
      </c>
      <c r="C11" s="7" t="s">
        <v>1114</v>
      </c>
      <c r="D11" s="7">
        <v>20649</v>
      </c>
      <c r="E11" s="7"/>
    </row>
    <row r="12" spans="1:6">
      <c r="A12" s="7" t="s">
        <v>84</v>
      </c>
      <c r="B12" s="7" t="s">
        <v>13</v>
      </c>
      <c r="C12" s="7" t="s">
        <v>302</v>
      </c>
      <c r="D12" s="7">
        <v>42417</v>
      </c>
      <c r="E12" s="7"/>
    </row>
    <row r="13" spans="1:6">
      <c r="A13" s="7" t="s">
        <v>14</v>
      </c>
      <c r="B13" s="7" t="s">
        <v>16</v>
      </c>
      <c r="C13" s="7" t="s">
        <v>292</v>
      </c>
      <c r="D13" s="7">
        <v>29281</v>
      </c>
      <c r="E13" s="7"/>
    </row>
    <row r="14" spans="1:6">
      <c r="A14" s="7" t="s">
        <v>93</v>
      </c>
      <c r="B14" s="7" t="s">
        <v>1110</v>
      </c>
      <c r="C14" s="7" t="s">
        <v>288</v>
      </c>
      <c r="D14" s="7">
        <v>29281</v>
      </c>
      <c r="E14" s="7"/>
    </row>
    <row r="15" spans="1:6">
      <c r="A15" s="7" t="s">
        <v>91</v>
      </c>
      <c r="B15" s="7" t="s">
        <v>18</v>
      </c>
      <c r="C15" s="7" t="s">
        <v>970</v>
      </c>
      <c r="D15" s="7">
        <v>47297</v>
      </c>
      <c r="E15" s="7"/>
    </row>
    <row r="16" spans="1:6">
      <c r="A16" s="7" t="s">
        <v>90</v>
      </c>
      <c r="B16" s="7" t="s">
        <v>22</v>
      </c>
      <c r="C16" s="7" t="s">
        <v>1113</v>
      </c>
      <c r="D16" s="7">
        <v>46163</v>
      </c>
      <c r="E16" s="7"/>
    </row>
    <row r="17" spans="1:5">
      <c r="A17" s="7" t="s">
        <v>1106</v>
      </c>
      <c r="B17" s="7" t="s">
        <v>1111</v>
      </c>
      <c r="C17" s="7" t="s">
        <v>290</v>
      </c>
      <c r="D17" s="7">
        <v>33344</v>
      </c>
      <c r="E17" s="7"/>
    </row>
    <row r="18" spans="1:5">
      <c r="A18" s="7" t="s">
        <v>17</v>
      </c>
      <c r="B18" s="7" t="s">
        <v>22</v>
      </c>
      <c r="C18" s="7" t="s">
        <v>1112</v>
      </c>
      <c r="D18" s="7">
        <v>43637</v>
      </c>
      <c r="E18" s="7"/>
    </row>
    <row r="19" spans="1:5">
      <c r="A19" s="7" t="s">
        <v>325</v>
      </c>
      <c r="B19" s="7" t="s">
        <v>22</v>
      </c>
      <c r="C19" s="7" t="s">
        <v>122</v>
      </c>
      <c r="D19" s="7">
        <v>25531</v>
      </c>
      <c r="E19" s="7"/>
    </row>
    <row r="20" spans="1:5">
      <c r="A20" s="7" t="s">
        <v>1107</v>
      </c>
      <c r="B20" s="7" t="s">
        <v>18</v>
      </c>
      <c r="C20" s="7" t="s">
        <v>973</v>
      </c>
      <c r="D20" s="7">
        <v>24282</v>
      </c>
      <c r="E20" s="7"/>
    </row>
    <row r="21" spans="1:5">
      <c r="A21" s="7" t="s">
        <v>94</v>
      </c>
      <c r="B21" s="7" t="s">
        <v>16</v>
      </c>
      <c r="C21" s="7" t="s">
        <v>292</v>
      </c>
      <c r="D21" s="7">
        <v>24383</v>
      </c>
      <c r="E21" s="7"/>
    </row>
    <row r="22" spans="1:5">
      <c r="A22" s="7" t="s">
        <v>14</v>
      </c>
      <c r="B22" s="7" t="s">
        <v>13</v>
      </c>
      <c r="C22" s="7" t="s">
        <v>290</v>
      </c>
      <c r="D22" s="7">
        <v>17893</v>
      </c>
      <c r="E22" s="7"/>
    </row>
    <row r="23" spans="1:5">
      <c r="A23" s="83"/>
      <c r="B23" s="83"/>
      <c r="C23" s="83"/>
      <c r="D23" s="83"/>
      <c r="E23" s="83"/>
    </row>
  </sheetData>
  <conditionalFormatting sqref="A1:D24 A31:D1048576">
    <cfRule type="expression" dxfId="3" priority="2">
      <formula>$E$2=$B1</formula>
    </cfRule>
  </conditionalFormatting>
  <conditionalFormatting sqref="A1:D1048576">
    <cfRule type="expression" dxfId="2" priority="1">
      <formula>$F$2=$C1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37C6-E062-429C-8447-D9E6D0AE612A}">
  <sheetPr>
    <tabColor rgb="FFFFFF00"/>
  </sheetPr>
  <dimension ref="A1:E29"/>
  <sheetViews>
    <sheetView topLeftCell="A2" workbookViewId="0">
      <selection activeCell="B30" sqref="B30"/>
    </sheetView>
  </sheetViews>
  <sheetFormatPr defaultRowHeight="14.4"/>
  <cols>
    <col min="1" max="1" width="24.77734375" customWidth="1"/>
  </cols>
  <sheetData>
    <row r="1" spans="1:5" ht="23.4">
      <c r="A1" s="138" t="s">
        <v>1240</v>
      </c>
      <c r="B1" s="139"/>
      <c r="C1" s="139"/>
      <c r="D1" s="139"/>
      <c r="E1" s="140"/>
    </row>
    <row r="2" spans="1:5" ht="15">
      <c r="A2" s="107" t="s">
        <v>31</v>
      </c>
      <c r="B2" s="107" t="s">
        <v>18</v>
      </c>
      <c r="C2" s="107" t="s">
        <v>20</v>
      </c>
      <c r="D2" s="107" t="s">
        <v>1241</v>
      </c>
      <c r="E2" s="107" t="s">
        <v>1242</v>
      </c>
    </row>
    <row r="3" spans="1:5" ht="15">
      <c r="A3" s="106" t="s">
        <v>1243</v>
      </c>
      <c r="B3" s="9">
        <v>45</v>
      </c>
      <c r="C3" s="9">
        <v>34</v>
      </c>
      <c r="D3" s="9">
        <v>56</v>
      </c>
      <c r="E3" s="9">
        <v>77</v>
      </c>
    </row>
    <row r="4" spans="1:5" ht="15">
      <c r="A4" s="106" t="s">
        <v>1244</v>
      </c>
      <c r="B4" s="9">
        <v>56</v>
      </c>
      <c r="C4" s="9">
        <v>65</v>
      </c>
      <c r="D4" s="9">
        <v>77</v>
      </c>
      <c r="E4" s="9">
        <v>99</v>
      </c>
    </row>
    <row r="5" spans="1:5" ht="15">
      <c r="A5" s="106" t="s">
        <v>1245</v>
      </c>
      <c r="B5" s="9"/>
      <c r="C5" s="9">
        <v>55</v>
      </c>
      <c r="D5" s="9"/>
      <c r="E5" s="9">
        <v>72</v>
      </c>
    </row>
    <row r="6" spans="1:5" ht="15">
      <c r="A6" s="106" t="s">
        <v>1246</v>
      </c>
      <c r="B6" s="9">
        <v>78</v>
      </c>
      <c r="C6" s="9"/>
      <c r="D6" s="9">
        <v>45</v>
      </c>
      <c r="E6" s="9"/>
    </row>
    <row r="7" spans="1:5" ht="15">
      <c r="A7" s="106" t="s">
        <v>1247</v>
      </c>
      <c r="B7" s="9">
        <v>55</v>
      </c>
      <c r="C7" s="9">
        <v>67</v>
      </c>
      <c r="D7" s="9">
        <v>89</v>
      </c>
      <c r="E7" s="9">
        <v>69</v>
      </c>
    </row>
    <row r="8" spans="1:5" ht="15">
      <c r="A8" s="106" t="s">
        <v>1248</v>
      </c>
      <c r="B8" s="9">
        <v>45</v>
      </c>
      <c r="C8" s="9">
        <v>77</v>
      </c>
      <c r="D8" s="9">
        <v>65</v>
      </c>
      <c r="E8" s="9">
        <v>14</v>
      </c>
    </row>
    <row r="9" spans="1:5" ht="15">
      <c r="A9" s="106" t="s">
        <v>1249</v>
      </c>
      <c r="B9" s="9">
        <v>56</v>
      </c>
      <c r="C9" s="9">
        <v>34</v>
      </c>
      <c r="D9" s="9">
        <v>78</v>
      </c>
      <c r="E9" s="9"/>
    </row>
    <row r="10" spans="1:5" ht="15">
      <c r="A10" s="106" t="s">
        <v>1250</v>
      </c>
      <c r="B10" s="9"/>
      <c r="C10" s="9">
        <v>54</v>
      </c>
      <c r="D10" s="9"/>
      <c r="E10" s="9">
        <v>28</v>
      </c>
    </row>
    <row r="11" spans="1:5" ht="15">
      <c r="A11" s="106" t="s">
        <v>1251</v>
      </c>
      <c r="B11" s="9">
        <v>67</v>
      </c>
      <c r="C11" s="9">
        <v>42</v>
      </c>
      <c r="D11" s="9">
        <v>25</v>
      </c>
      <c r="E11" s="9">
        <v>65</v>
      </c>
    </row>
    <row r="12" spans="1:5" ht="15">
      <c r="A12" s="106" t="s">
        <v>1252</v>
      </c>
      <c r="B12" s="9"/>
      <c r="C12" s="9">
        <v>62</v>
      </c>
      <c r="D12" s="9">
        <v>31</v>
      </c>
      <c r="E12" s="9">
        <v>12</v>
      </c>
    </row>
    <row r="13" spans="1:5" ht="15">
      <c r="A13" s="106" t="s">
        <v>1253</v>
      </c>
      <c r="B13" s="9">
        <v>56</v>
      </c>
      <c r="C13" s="9"/>
      <c r="D13" s="9">
        <v>69</v>
      </c>
      <c r="E13" s="9"/>
    </row>
    <row r="14" spans="1:5" ht="15">
      <c r="A14" s="106" t="s">
        <v>1254</v>
      </c>
      <c r="B14" s="9">
        <v>88</v>
      </c>
      <c r="C14" s="9">
        <v>56</v>
      </c>
      <c r="D14" s="9"/>
      <c r="E14" s="9">
        <v>36</v>
      </c>
    </row>
    <row r="15" spans="1:5" ht="15">
      <c r="A15" s="106" t="s">
        <v>1255</v>
      </c>
      <c r="B15" s="9">
        <v>90</v>
      </c>
      <c r="C15" s="9">
        <v>25</v>
      </c>
      <c r="D15" s="9">
        <v>21</v>
      </c>
      <c r="E15" s="9">
        <v>77</v>
      </c>
    </row>
    <row r="16" spans="1:5" ht="15">
      <c r="A16" s="106" t="s">
        <v>1256</v>
      </c>
      <c r="B16" s="9">
        <v>78</v>
      </c>
      <c r="C16" s="9"/>
      <c r="D16" s="9">
        <v>55</v>
      </c>
      <c r="E16" s="9"/>
    </row>
    <row r="17" spans="1:5" ht="15">
      <c r="A17" s="106" t="s">
        <v>1257</v>
      </c>
      <c r="B17" s="9">
        <v>23</v>
      </c>
      <c r="C17" s="9">
        <v>84</v>
      </c>
      <c r="D17" s="9">
        <v>25</v>
      </c>
      <c r="E17" s="9"/>
    </row>
    <row r="18" spans="1:5" ht="15">
      <c r="A18" s="106" t="s">
        <v>1258</v>
      </c>
      <c r="B18" s="9"/>
      <c r="C18" s="9">
        <v>65</v>
      </c>
      <c r="D18" s="9">
        <v>65</v>
      </c>
      <c r="E18" s="9">
        <v>12</v>
      </c>
    </row>
    <row r="19" spans="1:5" ht="15">
      <c r="A19" s="106" t="s">
        <v>1259</v>
      </c>
      <c r="B19" s="9">
        <v>67</v>
      </c>
      <c r="C19" s="9">
        <v>23</v>
      </c>
      <c r="D19" s="9"/>
      <c r="E19" s="9"/>
    </row>
    <row r="20" spans="1:5" ht="15">
      <c r="A20" s="106" t="s">
        <v>1260</v>
      </c>
      <c r="B20" s="9"/>
      <c r="C20" s="9"/>
      <c r="D20" s="9">
        <v>12</v>
      </c>
      <c r="E20" s="9"/>
    </row>
    <row r="21" spans="1:5" ht="15">
      <c r="A21" s="106" t="s">
        <v>1261</v>
      </c>
      <c r="B21" s="9"/>
      <c r="C21" s="9"/>
      <c r="D21" s="9">
        <v>33</v>
      </c>
      <c r="E21" s="9">
        <v>32</v>
      </c>
    </row>
    <row r="22" spans="1:5" ht="15">
      <c r="A22" s="106" t="s">
        <v>1262</v>
      </c>
      <c r="B22" s="9">
        <v>89</v>
      </c>
      <c r="C22" s="9">
        <v>58</v>
      </c>
      <c r="D22" s="9"/>
      <c r="E22" s="9">
        <v>33</v>
      </c>
    </row>
    <row r="23" spans="1:5" ht="15">
      <c r="A23" s="106" t="s">
        <v>1263</v>
      </c>
      <c r="B23" s="9">
        <v>12</v>
      </c>
      <c r="C23" s="9"/>
      <c r="D23" s="9">
        <v>35</v>
      </c>
      <c r="E23" s="9"/>
    </row>
    <row r="26" spans="1:5" ht="15">
      <c r="B26" s="105" t="s">
        <v>1264</v>
      </c>
    </row>
    <row r="27" spans="1:5" ht="15">
      <c r="B27" s="105" t="s">
        <v>1265</v>
      </c>
    </row>
    <row r="28" spans="1:5" ht="15">
      <c r="B28" s="105" t="s">
        <v>1266</v>
      </c>
    </row>
    <row r="29" spans="1:5" ht="15">
      <c r="B29" s="105" t="s">
        <v>1267</v>
      </c>
    </row>
  </sheetData>
  <mergeCells count="1">
    <mergeCell ref="A1:E1"/>
  </mergeCells>
  <conditionalFormatting sqref="A2:E23">
    <cfRule type="expression" dxfId="1" priority="1">
      <formula>ISBLANK(A2)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T31"/>
  <sheetViews>
    <sheetView topLeftCell="G4" workbookViewId="0">
      <selection activeCell="Z35" sqref="Z35"/>
    </sheetView>
  </sheetViews>
  <sheetFormatPr defaultColWidth="9" defaultRowHeight="14.4"/>
  <cols>
    <col min="1" max="11" width="12.6640625" customWidth="1"/>
  </cols>
  <sheetData>
    <row r="2" spans="1:11">
      <c r="A2" t="s">
        <v>0</v>
      </c>
      <c r="B2" cm="1">
        <f t="array" ref="B2:G2">_xlfn.SEQUENCE(1,6,2,5)</f>
        <v>2</v>
      </c>
      <c r="C2">
        <v>7</v>
      </c>
      <c r="D2">
        <v>12</v>
      </c>
      <c r="E2">
        <v>17</v>
      </c>
      <c r="F2">
        <v>22</v>
      </c>
      <c r="G2">
        <v>27</v>
      </c>
    </row>
    <row r="4" spans="1:11">
      <c r="A4" t="s">
        <v>1</v>
      </c>
      <c r="B4" cm="1">
        <f t="array" ref="B4:J6">_xlfn.SEQUENCE(3,9)</f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</row>
    <row r="5" spans="1:11">
      <c r="B5">
        <v>10</v>
      </c>
      <c r="C5">
        <v>11</v>
      </c>
      <c r="D5">
        <v>12</v>
      </c>
      <c r="E5">
        <v>13</v>
      </c>
      <c r="F5">
        <v>14</v>
      </c>
      <c r="G5">
        <v>15</v>
      </c>
      <c r="H5">
        <v>16</v>
      </c>
      <c r="I5">
        <v>17</v>
      </c>
      <c r="J5">
        <v>18</v>
      </c>
    </row>
    <row r="6" spans="1:11">
      <c r="B6">
        <v>19</v>
      </c>
      <c r="C6">
        <v>20</v>
      </c>
      <c r="D6">
        <v>21</v>
      </c>
      <c r="E6">
        <v>22</v>
      </c>
      <c r="F6">
        <v>23</v>
      </c>
      <c r="G6">
        <v>24</v>
      </c>
      <c r="H6">
        <v>25</v>
      </c>
      <c r="I6">
        <v>26</v>
      </c>
      <c r="J6">
        <v>27</v>
      </c>
    </row>
    <row r="8" spans="1:11">
      <c r="A8" t="s">
        <v>2</v>
      </c>
      <c r="B8" cm="1">
        <f t="array" ref="B8:K17">_xlfn.SEQUENCE(10,10,2,2)</f>
        <v>2</v>
      </c>
      <c r="C8">
        <v>4</v>
      </c>
      <c r="D8">
        <v>6</v>
      </c>
      <c r="E8">
        <v>8</v>
      </c>
      <c r="F8">
        <v>10</v>
      </c>
      <c r="G8">
        <v>12</v>
      </c>
      <c r="H8">
        <v>14</v>
      </c>
      <c r="I8">
        <v>16</v>
      </c>
      <c r="J8">
        <v>18</v>
      </c>
      <c r="K8">
        <v>20</v>
      </c>
    </row>
    <row r="9" spans="1:11">
      <c r="B9">
        <v>22</v>
      </c>
      <c r="C9">
        <v>24</v>
      </c>
      <c r="D9">
        <v>26</v>
      </c>
      <c r="E9">
        <v>28</v>
      </c>
      <c r="F9">
        <v>30</v>
      </c>
      <c r="G9">
        <v>32</v>
      </c>
      <c r="H9">
        <v>34</v>
      </c>
      <c r="I9">
        <v>36</v>
      </c>
      <c r="J9">
        <v>38</v>
      </c>
      <c r="K9">
        <v>40</v>
      </c>
    </row>
    <row r="10" spans="1:11">
      <c r="B10">
        <v>42</v>
      </c>
      <c r="C10">
        <v>44</v>
      </c>
      <c r="D10">
        <v>46</v>
      </c>
      <c r="E10">
        <v>48</v>
      </c>
      <c r="F10">
        <v>50</v>
      </c>
      <c r="G10">
        <v>52</v>
      </c>
      <c r="H10">
        <v>54</v>
      </c>
      <c r="I10">
        <v>56</v>
      </c>
      <c r="J10">
        <v>58</v>
      </c>
      <c r="K10">
        <v>60</v>
      </c>
    </row>
    <row r="11" spans="1:11">
      <c r="B11">
        <v>62</v>
      </c>
      <c r="C11">
        <v>64</v>
      </c>
      <c r="D11">
        <v>66</v>
      </c>
      <c r="E11">
        <v>68</v>
      </c>
      <c r="F11">
        <v>70</v>
      </c>
      <c r="G11">
        <v>72</v>
      </c>
      <c r="H11">
        <v>74</v>
      </c>
      <c r="I11">
        <v>76</v>
      </c>
      <c r="J11">
        <v>78</v>
      </c>
      <c r="K11">
        <v>80</v>
      </c>
    </row>
    <row r="12" spans="1:11">
      <c r="B12">
        <v>82</v>
      </c>
      <c r="C12">
        <v>84</v>
      </c>
      <c r="D12">
        <v>86</v>
      </c>
      <c r="E12">
        <v>88</v>
      </c>
      <c r="F12">
        <v>90</v>
      </c>
      <c r="G12">
        <v>92</v>
      </c>
      <c r="H12">
        <v>94</v>
      </c>
      <c r="I12">
        <v>96</v>
      </c>
      <c r="J12">
        <v>98</v>
      </c>
      <c r="K12">
        <v>100</v>
      </c>
    </row>
    <row r="13" spans="1:11">
      <c r="B13">
        <v>102</v>
      </c>
      <c r="C13">
        <v>104</v>
      </c>
      <c r="D13">
        <v>106</v>
      </c>
      <c r="E13">
        <v>108</v>
      </c>
      <c r="F13">
        <v>110</v>
      </c>
      <c r="G13">
        <v>112</v>
      </c>
      <c r="H13">
        <v>114</v>
      </c>
      <c r="I13">
        <v>116</v>
      </c>
      <c r="J13">
        <v>118</v>
      </c>
      <c r="K13">
        <v>120</v>
      </c>
    </row>
    <row r="14" spans="1:11">
      <c r="B14">
        <v>122</v>
      </c>
      <c r="C14">
        <v>124</v>
      </c>
      <c r="D14">
        <v>126</v>
      </c>
      <c r="E14">
        <v>128</v>
      </c>
      <c r="F14">
        <v>130</v>
      </c>
      <c r="G14">
        <v>132</v>
      </c>
      <c r="H14">
        <v>134</v>
      </c>
      <c r="I14">
        <v>136</v>
      </c>
      <c r="J14">
        <v>138</v>
      </c>
      <c r="K14">
        <v>140</v>
      </c>
    </row>
    <row r="15" spans="1:11">
      <c r="B15">
        <v>142</v>
      </c>
      <c r="C15">
        <v>144</v>
      </c>
      <c r="D15">
        <v>146</v>
      </c>
      <c r="E15">
        <v>148</v>
      </c>
      <c r="F15">
        <v>150</v>
      </c>
      <c r="G15">
        <v>152</v>
      </c>
      <c r="H15">
        <v>154</v>
      </c>
      <c r="I15">
        <v>156</v>
      </c>
      <c r="J15">
        <v>158</v>
      </c>
      <c r="K15">
        <v>160</v>
      </c>
    </row>
    <row r="16" spans="1:11">
      <c r="B16">
        <v>162</v>
      </c>
      <c r="C16">
        <v>164</v>
      </c>
      <c r="D16">
        <v>166</v>
      </c>
      <c r="E16">
        <v>168</v>
      </c>
      <c r="F16">
        <v>170</v>
      </c>
      <c r="G16">
        <v>172</v>
      </c>
      <c r="H16">
        <v>174</v>
      </c>
      <c r="I16">
        <v>176</v>
      </c>
      <c r="J16">
        <v>178</v>
      </c>
      <c r="K16">
        <v>180</v>
      </c>
    </row>
    <row r="17" spans="2:20">
      <c r="B17">
        <v>182</v>
      </c>
      <c r="C17">
        <v>184</v>
      </c>
      <c r="D17">
        <v>186</v>
      </c>
      <c r="E17">
        <v>188</v>
      </c>
      <c r="F17">
        <v>190</v>
      </c>
      <c r="G17">
        <v>192</v>
      </c>
      <c r="H17">
        <v>194</v>
      </c>
      <c r="I17">
        <v>196</v>
      </c>
      <c r="J17">
        <v>198</v>
      </c>
      <c r="K17">
        <v>200</v>
      </c>
    </row>
    <row r="21" spans="2:20">
      <c r="E21" cm="1">
        <f t="array" ref="E21:I30">_xlfn.SEQUENCE(10,5,2,2)</f>
        <v>2</v>
      </c>
      <c r="F21">
        <v>4</v>
      </c>
      <c r="G21">
        <v>6</v>
      </c>
      <c r="H21">
        <v>8</v>
      </c>
      <c r="I21">
        <v>10</v>
      </c>
    </row>
    <row r="22" spans="2:20">
      <c r="E22">
        <v>12</v>
      </c>
      <c r="F22">
        <v>14</v>
      </c>
      <c r="G22">
        <v>16</v>
      </c>
      <c r="H22">
        <v>18</v>
      </c>
      <c r="I22">
        <v>20</v>
      </c>
      <c r="K22" cm="1">
        <f t="array" ref="K22:T31">_xlfn.SEQUENCE(10,10,1,2)</f>
        <v>1</v>
      </c>
      <c r="L22">
        <v>3</v>
      </c>
      <c r="M22">
        <v>5</v>
      </c>
      <c r="N22">
        <v>7</v>
      </c>
      <c r="O22">
        <v>9</v>
      </c>
      <c r="P22">
        <v>11</v>
      </c>
      <c r="Q22">
        <v>13</v>
      </c>
      <c r="R22">
        <v>15</v>
      </c>
      <c r="S22">
        <v>17</v>
      </c>
      <c r="T22">
        <v>19</v>
      </c>
    </row>
    <row r="23" spans="2:20">
      <c r="E23">
        <v>22</v>
      </c>
      <c r="F23">
        <v>24</v>
      </c>
      <c r="G23">
        <v>26</v>
      </c>
      <c r="H23">
        <v>28</v>
      </c>
      <c r="I23">
        <v>30</v>
      </c>
      <c r="K23">
        <v>21</v>
      </c>
      <c r="L23">
        <v>23</v>
      </c>
      <c r="M23">
        <v>25</v>
      </c>
      <c r="N23">
        <v>27</v>
      </c>
      <c r="O23">
        <v>29</v>
      </c>
      <c r="P23">
        <v>31</v>
      </c>
      <c r="Q23">
        <v>33</v>
      </c>
      <c r="R23">
        <v>35</v>
      </c>
      <c r="S23">
        <v>37</v>
      </c>
      <c r="T23">
        <v>39</v>
      </c>
    </row>
    <row r="24" spans="2:20">
      <c r="E24">
        <v>32</v>
      </c>
      <c r="F24">
        <v>34</v>
      </c>
      <c r="G24">
        <v>36</v>
      </c>
      <c r="H24">
        <v>38</v>
      </c>
      <c r="I24">
        <v>40</v>
      </c>
      <c r="K24">
        <v>41</v>
      </c>
      <c r="L24">
        <v>43</v>
      </c>
      <c r="M24">
        <v>45</v>
      </c>
      <c r="N24">
        <v>47</v>
      </c>
      <c r="O24">
        <v>49</v>
      </c>
      <c r="P24">
        <v>51</v>
      </c>
      <c r="Q24">
        <v>53</v>
      </c>
      <c r="R24">
        <v>55</v>
      </c>
      <c r="S24">
        <v>57</v>
      </c>
      <c r="T24">
        <v>59</v>
      </c>
    </row>
    <row r="25" spans="2:20">
      <c r="E25">
        <v>42</v>
      </c>
      <c r="F25">
        <v>44</v>
      </c>
      <c r="G25">
        <v>46</v>
      </c>
      <c r="H25">
        <v>48</v>
      </c>
      <c r="I25">
        <v>50</v>
      </c>
      <c r="K25">
        <v>61</v>
      </c>
      <c r="L25">
        <v>63</v>
      </c>
      <c r="M25">
        <v>65</v>
      </c>
      <c r="N25">
        <v>67</v>
      </c>
      <c r="O25">
        <v>69</v>
      </c>
      <c r="P25">
        <v>71</v>
      </c>
      <c r="Q25">
        <v>73</v>
      </c>
      <c r="R25">
        <v>75</v>
      </c>
      <c r="S25">
        <v>77</v>
      </c>
      <c r="T25">
        <v>79</v>
      </c>
    </row>
    <row r="26" spans="2:20">
      <c r="E26">
        <v>52</v>
      </c>
      <c r="F26">
        <v>54</v>
      </c>
      <c r="G26">
        <v>56</v>
      </c>
      <c r="H26">
        <v>58</v>
      </c>
      <c r="I26">
        <v>60</v>
      </c>
      <c r="K26">
        <v>81</v>
      </c>
      <c r="L26">
        <v>83</v>
      </c>
      <c r="M26">
        <v>85</v>
      </c>
      <c r="N26">
        <v>87</v>
      </c>
      <c r="O26">
        <v>89</v>
      </c>
      <c r="P26">
        <v>91</v>
      </c>
      <c r="Q26">
        <v>93</v>
      </c>
      <c r="R26">
        <v>95</v>
      </c>
      <c r="S26">
        <v>97</v>
      </c>
      <c r="T26">
        <v>99</v>
      </c>
    </row>
    <row r="27" spans="2:20">
      <c r="E27">
        <v>62</v>
      </c>
      <c r="F27">
        <v>64</v>
      </c>
      <c r="G27">
        <v>66</v>
      </c>
      <c r="H27">
        <v>68</v>
      </c>
      <c r="I27">
        <v>70</v>
      </c>
      <c r="K27">
        <v>101</v>
      </c>
      <c r="L27">
        <v>103</v>
      </c>
      <c r="M27">
        <v>105</v>
      </c>
      <c r="N27">
        <v>107</v>
      </c>
      <c r="O27">
        <v>109</v>
      </c>
      <c r="P27">
        <v>111</v>
      </c>
      <c r="Q27">
        <v>113</v>
      </c>
      <c r="R27">
        <v>115</v>
      </c>
      <c r="S27">
        <v>117</v>
      </c>
      <c r="T27">
        <v>119</v>
      </c>
    </row>
    <row r="28" spans="2:20">
      <c r="E28">
        <v>72</v>
      </c>
      <c r="F28">
        <v>74</v>
      </c>
      <c r="G28">
        <v>76</v>
      </c>
      <c r="H28">
        <v>78</v>
      </c>
      <c r="I28">
        <v>80</v>
      </c>
      <c r="K28">
        <v>121</v>
      </c>
      <c r="L28">
        <v>123</v>
      </c>
      <c r="M28">
        <v>125</v>
      </c>
      <c r="N28">
        <v>127</v>
      </c>
      <c r="O28">
        <v>129</v>
      </c>
      <c r="P28">
        <v>131</v>
      </c>
      <c r="Q28">
        <v>133</v>
      </c>
      <c r="R28">
        <v>135</v>
      </c>
      <c r="S28">
        <v>137</v>
      </c>
      <c r="T28">
        <v>139</v>
      </c>
    </row>
    <row r="29" spans="2:20">
      <c r="E29">
        <v>82</v>
      </c>
      <c r="F29">
        <v>84</v>
      </c>
      <c r="G29">
        <v>86</v>
      </c>
      <c r="H29">
        <v>88</v>
      </c>
      <c r="I29">
        <v>90</v>
      </c>
      <c r="K29">
        <v>141</v>
      </c>
      <c r="L29">
        <v>143</v>
      </c>
      <c r="M29">
        <v>145</v>
      </c>
      <c r="N29">
        <v>147</v>
      </c>
      <c r="O29">
        <v>149</v>
      </c>
      <c r="P29">
        <v>151</v>
      </c>
      <c r="Q29">
        <v>153</v>
      </c>
      <c r="R29">
        <v>155</v>
      </c>
      <c r="S29">
        <v>157</v>
      </c>
      <c r="T29">
        <v>159</v>
      </c>
    </row>
    <row r="30" spans="2:20">
      <c r="E30">
        <v>92</v>
      </c>
      <c r="F30">
        <v>94</v>
      </c>
      <c r="G30">
        <v>96</v>
      </c>
      <c r="H30">
        <v>98</v>
      </c>
      <c r="I30">
        <v>100</v>
      </c>
      <c r="K30">
        <v>161</v>
      </c>
      <c r="L30">
        <v>163</v>
      </c>
      <c r="M30">
        <v>165</v>
      </c>
      <c r="N30">
        <v>167</v>
      </c>
      <c r="O30">
        <v>169</v>
      </c>
      <c r="P30">
        <v>171</v>
      </c>
      <c r="Q30">
        <v>173</v>
      </c>
      <c r="R30">
        <v>175</v>
      </c>
      <c r="S30">
        <v>177</v>
      </c>
      <c r="T30">
        <v>179</v>
      </c>
    </row>
    <row r="31" spans="2:20">
      <c r="K31">
        <v>181</v>
      </c>
      <c r="L31">
        <v>183</v>
      </c>
      <c r="M31">
        <v>185</v>
      </c>
      <c r="N31">
        <v>187</v>
      </c>
      <c r="O31">
        <v>189</v>
      </c>
      <c r="P31">
        <v>191</v>
      </c>
      <c r="Q31">
        <v>193</v>
      </c>
      <c r="R31">
        <v>195</v>
      </c>
      <c r="S31">
        <v>197</v>
      </c>
      <c r="T31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E1:M38"/>
  <sheetViews>
    <sheetView tabSelected="1" workbookViewId="0">
      <selection activeCell="K10" sqref="K10"/>
    </sheetView>
  </sheetViews>
  <sheetFormatPr defaultColWidth="9" defaultRowHeight="14.4"/>
  <cols>
    <col min="7" max="7" width="26.33203125" customWidth="1"/>
    <col min="8" max="8" width="24" customWidth="1"/>
    <col min="13" max="13" width="21.88671875" customWidth="1"/>
  </cols>
  <sheetData>
    <row r="1" spans="5:13">
      <c r="E1" s="141" t="s">
        <v>3</v>
      </c>
      <c r="F1" s="141"/>
      <c r="G1" s="141"/>
      <c r="H1" s="141"/>
      <c r="I1" s="141"/>
    </row>
    <row r="2" spans="5:13">
      <c r="F2" s="78" t="s">
        <v>4</v>
      </c>
      <c r="G2" s="78" t="s">
        <v>5</v>
      </c>
      <c r="H2" s="78" t="s">
        <v>6</v>
      </c>
      <c r="K2" s="78" t="s">
        <v>4</v>
      </c>
      <c r="L2" s="78" t="s">
        <v>5</v>
      </c>
      <c r="M2" s="78" t="s">
        <v>6</v>
      </c>
    </row>
    <row r="3" spans="5:13" ht="15">
      <c r="F3" s="9" t="s">
        <v>7</v>
      </c>
      <c r="G3" s="79" t="s">
        <v>8</v>
      </c>
      <c r="H3" s="9">
        <v>50000</v>
      </c>
      <c r="K3" s="42" t="s">
        <v>9</v>
      </c>
      <c r="L3" s="42" t="str" cm="1">
        <f t="array" aca="1" ref="L3" ca="1">INDIRECT(K3) INDIRECT(L2)</f>
        <v>Patna</v>
      </c>
      <c r="M3" s="42" cm="1">
        <f t="array" aca="1" ref="M3" ca="1">INDIRECT(K3) INDIRECT(M2)</f>
        <v>60000</v>
      </c>
    </row>
    <row r="4" spans="5:13">
      <c r="F4" s="9" t="s">
        <v>9</v>
      </c>
      <c r="G4" s="9" t="s">
        <v>10</v>
      </c>
      <c r="H4" s="9">
        <v>60000</v>
      </c>
      <c r="K4" t="s">
        <v>11</v>
      </c>
      <c r="L4" t="str" cm="1">
        <f t="array" aca="1" ref="L4:M4" ca="1">INDIRECT(F7) INDIRECT(F7)</f>
        <v>Nagpur</v>
      </c>
      <c r="M4">
        <f ca="1"/>
        <v>90000</v>
      </c>
    </row>
    <row r="5" spans="5:13">
      <c r="F5" s="9" t="s">
        <v>12</v>
      </c>
      <c r="G5" s="9" t="s">
        <v>13</v>
      </c>
      <c r="H5" s="9">
        <v>70000</v>
      </c>
      <c r="L5" t="str" cm="1">
        <f t="array" aca="1" ref="L5:M5" ca="1">INDIRECT(F7)</f>
        <v>Nagpur</v>
      </c>
      <c r="M5">
        <f ca="1"/>
        <v>90000</v>
      </c>
    </row>
    <row r="6" spans="5:13">
      <c r="F6" s="9" t="s">
        <v>14</v>
      </c>
      <c r="G6" s="9" t="s">
        <v>15</v>
      </c>
      <c r="H6" s="9">
        <v>80000</v>
      </c>
    </row>
    <row r="7" spans="5:13">
      <c r="F7" s="9" t="s">
        <v>11</v>
      </c>
      <c r="G7" s="9" t="s">
        <v>16</v>
      </c>
      <c r="H7" s="9">
        <v>90000</v>
      </c>
    </row>
    <row r="8" spans="5:13">
      <c r="F8" s="9" t="s">
        <v>17</v>
      </c>
      <c r="G8" s="9" t="s">
        <v>18</v>
      </c>
      <c r="H8" s="9">
        <v>20000</v>
      </c>
    </row>
    <row r="9" spans="5:13">
      <c r="F9" s="9" t="s">
        <v>19</v>
      </c>
      <c r="G9" s="9" t="s">
        <v>20</v>
      </c>
      <c r="H9" s="9">
        <v>210000</v>
      </c>
      <c r="K9" t="s">
        <v>1119</v>
      </c>
      <c r="L9" t="str" cm="1">
        <f t="array" aca="1" ref="L9:M9" ca="1">INDIRECT(K9)</f>
        <v>Pune</v>
      </c>
      <c r="M9">
        <f ca="1"/>
        <v>210000</v>
      </c>
    </row>
    <row r="10" spans="5:13">
      <c r="F10" s="9" t="s">
        <v>19</v>
      </c>
      <c r="G10" s="9" t="s">
        <v>21</v>
      </c>
      <c r="H10" s="9">
        <v>65000</v>
      </c>
    </row>
    <row r="11" spans="5:13">
      <c r="F11" s="9" t="s">
        <v>17</v>
      </c>
      <c r="G11" s="9" t="s">
        <v>22</v>
      </c>
      <c r="H11" s="9">
        <v>55000</v>
      </c>
    </row>
    <row r="14" spans="5:13">
      <c r="E14" t="s">
        <v>23</v>
      </c>
      <c r="F14" t="s">
        <v>24</v>
      </c>
    </row>
    <row r="16" spans="5:13">
      <c r="E16" t="s">
        <v>25</v>
      </c>
      <c r="F16" t="s">
        <v>26</v>
      </c>
    </row>
    <row r="18" spans="5:13">
      <c r="E18" t="s">
        <v>27</v>
      </c>
    </row>
    <row r="23" spans="5:13">
      <c r="H23" t="s">
        <v>1236</v>
      </c>
      <c r="J23" t="s">
        <v>1232</v>
      </c>
      <c r="L23" t="s">
        <v>1233</v>
      </c>
    </row>
    <row r="28" spans="5:13">
      <c r="H28" t="s">
        <v>1234</v>
      </c>
      <c r="I28">
        <v>1282</v>
      </c>
      <c r="J28" t="s">
        <v>599</v>
      </c>
      <c r="K28" t="s">
        <v>1235</v>
      </c>
      <c r="M28" t="str">
        <f>CONCATENATE(H28,I28,J28,K28)</f>
        <v>ashwin1282@gmail.com</v>
      </c>
    </row>
    <row r="29" spans="5:13">
      <c r="H29">
        <v>1282</v>
      </c>
    </row>
    <row r="32" spans="5:13">
      <c r="H32" t="s">
        <v>1237</v>
      </c>
      <c r="I32" t="str">
        <f>_xlfn.CONCAT(H28,I28,J28,K28)</f>
        <v>ashwin1282@gmail.com</v>
      </c>
    </row>
    <row r="33" spans="8:9">
      <c r="H33">
        <v>111</v>
      </c>
    </row>
    <row r="38" spans="8:9">
      <c r="I38" s="64" t="s">
        <v>1238</v>
      </c>
    </row>
  </sheetData>
  <mergeCells count="1">
    <mergeCell ref="E1:I1"/>
  </mergeCells>
  <dataValidations count="1">
    <dataValidation type="list" allowBlank="1" showInputMessage="1" showErrorMessage="1" sqref="K3" xr:uid="{00000000-0002-0000-0200-000000000000}">
      <formula1>Name</formula1>
    </dataValidation>
  </dataValidations>
  <hyperlinks>
    <hyperlink ref="I38" r:id="rId1" xr:uid="{BBC91738-1AAB-438B-88AD-F4C25071CA4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C1:Q47"/>
  <sheetViews>
    <sheetView topLeftCell="A6" zoomScale="70" zoomScaleNormal="70" workbookViewId="0">
      <selection activeCell="J46" sqref="J46"/>
    </sheetView>
  </sheetViews>
  <sheetFormatPr defaultColWidth="9" defaultRowHeight="14.4"/>
  <cols>
    <col min="4" max="4" width="17.77734375" customWidth="1"/>
    <col min="5" max="5" width="11.77734375" customWidth="1"/>
    <col min="6" max="6" width="12" customWidth="1"/>
    <col min="9" max="9" width="16.77734375" customWidth="1"/>
    <col min="10" max="10" width="13" customWidth="1"/>
    <col min="11" max="11" width="12.77734375" customWidth="1"/>
    <col min="12" max="12" width="10.5546875" customWidth="1"/>
    <col min="13" max="13" width="13.77734375" customWidth="1"/>
  </cols>
  <sheetData>
    <row r="1" spans="3:17">
      <c r="C1" s="142" t="s">
        <v>3</v>
      </c>
      <c r="D1" s="142"/>
      <c r="E1" s="142"/>
      <c r="F1" s="142"/>
      <c r="G1" s="142"/>
      <c r="H1" s="142"/>
      <c r="O1" s="54" t="s">
        <v>4</v>
      </c>
      <c r="P1" s="54" t="s">
        <v>28</v>
      </c>
      <c r="Q1" s="54" t="s">
        <v>6</v>
      </c>
    </row>
    <row r="2" spans="3:17">
      <c r="C2" s="142"/>
      <c r="D2" s="142"/>
      <c r="E2" s="142"/>
      <c r="F2" s="142"/>
      <c r="G2" s="142"/>
      <c r="H2" s="142"/>
      <c r="O2" t="s">
        <v>29</v>
      </c>
      <c r="P2" t="s">
        <v>18</v>
      </c>
      <c r="Q2">
        <v>14783</v>
      </c>
    </row>
    <row r="3" spans="3:17">
      <c r="C3" s="78" t="s">
        <v>30</v>
      </c>
      <c r="D3" s="78" t="s">
        <v>31</v>
      </c>
      <c r="E3" s="78" t="s">
        <v>32</v>
      </c>
      <c r="F3" s="78" t="s">
        <v>33</v>
      </c>
      <c r="G3" s="78" t="s">
        <v>34</v>
      </c>
      <c r="I3" s="78" t="s">
        <v>32</v>
      </c>
      <c r="O3" t="s">
        <v>35</v>
      </c>
      <c r="P3" t="s">
        <v>20</v>
      </c>
      <c r="Q3">
        <v>13928</v>
      </c>
    </row>
    <row r="4" spans="3:17" ht="15">
      <c r="C4" s="9" t="s">
        <v>36</v>
      </c>
      <c r="D4" s="9" t="s">
        <v>37</v>
      </c>
      <c r="E4" s="79" t="s">
        <v>8</v>
      </c>
      <c r="F4" s="9">
        <v>12000</v>
      </c>
      <c r="G4" s="9">
        <v>20000</v>
      </c>
      <c r="Q4">
        <v>19606</v>
      </c>
    </row>
    <row r="5" spans="3:17">
      <c r="C5" s="9" t="s">
        <v>38</v>
      </c>
      <c r="D5" s="9" t="s">
        <v>39</v>
      </c>
      <c r="E5" s="9" t="s">
        <v>10</v>
      </c>
      <c r="F5" s="9">
        <v>13000</v>
      </c>
      <c r="G5" s="9">
        <v>30000</v>
      </c>
      <c r="Q5">
        <v>19871</v>
      </c>
    </row>
    <row r="6" spans="3:17">
      <c r="C6" s="9" t="s">
        <v>40</v>
      </c>
      <c r="D6" s="9" t="s">
        <v>41</v>
      </c>
      <c r="E6" s="9" t="s">
        <v>13</v>
      </c>
      <c r="F6" s="9">
        <v>14000</v>
      </c>
      <c r="G6" s="9">
        <v>40000</v>
      </c>
      <c r="I6" s="78" t="s">
        <v>30</v>
      </c>
      <c r="J6" s="78" t="s">
        <v>31</v>
      </c>
      <c r="K6" s="78" t="s">
        <v>32</v>
      </c>
      <c r="L6" s="78" t="s">
        <v>33</v>
      </c>
      <c r="M6" s="78" t="s">
        <v>34</v>
      </c>
    </row>
    <row r="7" spans="3:17" ht="15">
      <c r="C7" s="9" t="s">
        <v>42</v>
      </c>
      <c r="D7" s="9" t="s">
        <v>43</v>
      </c>
      <c r="E7" s="9" t="s">
        <v>15</v>
      </c>
      <c r="F7" s="9">
        <v>15000</v>
      </c>
      <c r="G7" s="9">
        <v>50000</v>
      </c>
      <c r="I7" s="9"/>
      <c r="J7" s="9"/>
      <c r="K7" s="79"/>
      <c r="L7" s="9"/>
      <c r="M7" s="9"/>
    </row>
    <row r="8" spans="3:17">
      <c r="C8" s="9" t="s">
        <v>44</v>
      </c>
      <c r="D8" s="9" t="s">
        <v>45</v>
      </c>
      <c r="E8" s="9" t="s">
        <v>16</v>
      </c>
      <c r="F8" s="9">
        <v>16000</v>
      </c>
      <c r="G8" s="9">
        <v>60000</v>
      </c>
      <c r="I8" s="9"/>
      <c r="J8" s="9"/>
      <c r="K8" s="9"/>
      <c r="L8" s="9"/>
      <c r="M8" s="9"/>
    </row>
    <row r="9" spans="3:17">
      <c r="C9" s="9" t="s">
        <v>46</v>
      </c>
      <c r="D9" s="9" t="s">
        <v>47</v>
      </c>
      <c r="E9" s="9" t="s">
        <v>18</v>
      </c>
      <c r="F9" s="9">
        <v>17000</v>
      </c>
      <c r="G9" s="9">
        <v>70000</v>
      </c>
      <c r="I9" s="9"/>
      <c r="J9" s="9"/>
      <c r="K9" s="9"/>
      <c r="L9" s="9"/>
      <c r="M9" s="9"/>
    </row>
    <row r="10" spans="3:17">
      <c r="C10" s="9" t="s">
        <v>48</v>
      </c>
      <c r="D10" s="9" t="s">
        <v>49</v>
      </c>
      <c r="E10" s="9" t="s">
        <v>20</v>
      </c>
      <c r="F10" s="9">
        <v>18000</v>
      </c>
      <c r="G10" s="9">
        <v>80000</v>
      </c>
    </row>
    <row r="11" spans="3:17">
      <c r="C11" s="9" t="s">
        <v>50</v>
      </c>
      <c r="D11" s="9" t="s">
        <v>51</v>
      </c>
      <c r="E11" s="9" t="s">
        <v>21</v>
      </c>
      <c r="F11" s="9">
        <v>19000</v>
      </c>
      <c r="G11" s="9">
        <v>90000</v>
      </c>
    </row>
    <row r="12" spans="3:17">
      <c r="C12" s="9" t="s">
        <v>52</v>
      </c>
      <c r="D12" s="9" t="s">
        <v>53</v>
      </c>
      <c r="E12" s="9" t="s">
        <v>22</v>
      </c>
      <c r="F12" s="9">
        <v>20000</v>
      </c>
      <c r="G12" s="9">
        <v>100000</v>
      </c>
    </row>
    <row r="13" spans="3:17">
      <c r="C13" s="9" t="s">
        <v>54</v>
      </c>
      <c r="D13" s="9" t="s">
        <v>55</v>
      </c>
      <c r="E13" s="9" t="s">
        <v>56</v>
      </c>
      <c r="F13" s="9">
        <v>21000</v>
      </c>
      <c r="G13" s="9">
        <v>110000</v>
      </c>
    </row>
    <row r="14" spans="3:17">
      <c r="C14" s="9" t="s">
        <v>57</v>
      </c>
      <c r="D14" s="9" t="s">
        <v>58</v>
      </c>
      <c r="E14" s="9" t="s">
        <v>59</v>
      </c>
      <c r="F14" s="9">
        <v>22000</v>
      </c>
      <c r="G14" s="9">
        <v>120000</v>
      </c>
    </row>
    <row r="15" spans="3:17">
      <c r="C15" s="9" t="s">
        <v>60</v>
      </c>
      <c r="D15" s="9" t="s">
        <v>61</v>
      </c>
      <c r="E15" s="9" t="s">
        <v>62</v>
      </c>
      <c r="F15" s="9">
        <v>23000</v>
      </c>
      <c r="G15" s="9">
        <v>130000</v>
      </c>
    </row>
    <row r="16" spans="3:17">
      <c r="C16" s="9" t="s">
        <v>63</v>
      </c>
      <c r="D16" s="9" t="s">
        <v>64</v>
      </c>
      <c r="E16" s="9" t="s">
        <v>65</v>
      </c>
      <c r="F16" s="9">
        <v>24000</v>
      </c>
      <c r="G16" s="9">
        <v>140000</v>
      </c>
    </row>
    <row r="17" spans="3:13">
      <c r="C17" s="9" t="s">
        <v>66</v>
      </c>
      <c r="D17" s="9" t="s">
        <v>67</v>
      </c>
      <c r="E17" s="9" t="s">
        <v>68</v>
      </c>
      <c r="F17" s="9">
        <v>25000</v>
      </c>
      <c r="G17" s="9">
        <v>150000</v>
      </c>
    </row>
    <row r="18" spans="3:13">
      <c r="C18" s="9" t="s">
        <v>69</v>
      </c>
      <c r="D18" s="9" t="s">
        <v>70</v>
      </c>
      <c r="E18" s="9" t="s">
        <v>71</v>
      </c>
      <c r="F18" s="9">
        <v>26000</v>
      </c>
      <c r="G18" s="9">
        <v>160000</v>
      </c>
    </row>
    <row r="19" spans="3:13">
      <c r="C19" s="9" t="s">
        <v>72</v>
      </c>
      <c r="D19" s="9" t="s">
        <v>73</v>
      </c>
      <c r="E19" s="9" t="s">
        <v>74</v>
      </c>
      <c r="F19" s="9">
        <v>27000</v>
      </c>
      <c r="G19" s="9">
        <v>170000</v>
      </c>
    </row>
    <row r="20" spans="3:13">
      <c r="C20" s="9" t="s">
        <v>75</v>
      </c>
      <c r="D20" s="9" t="s">
        <v>76</v>
      </c>
      <c r="E20" s="9" t="s">
        <v>77</v>
      </c>
      <c r="F20" s="9">
        <v>28000</v>
      </c>
      <c r="G20" s="9">
        <v>180000</v>
      </c>
    </row>
    <row r="21" spans="3:13">
      <c r="C21" s="9" t="s">
        <v>78</v>
      </c>
      <c r="D21" s="9" t="s">
        <v>79</v>
      </c>
      <c r="E21" s="9" t="s">
        <v>80</v>
      </c>
      <c r="F21" s="9">
        <v>29000</v>
      </c>
      <c r="G21" s="9">
        <v>190000</v>
      </c>
    </row>
    <row r="26" spans="3:13">
      <c r="J26" s="80" t="s">
        <v>81</v>
      </c>
      <c r="K26" s="80" t="s">
        <v>4</v>
      </c>
      <c r="L26" s="80" t="s">
        <v>82</v>
      </c>
      <c r="M26" s="80" t="s">
        <v>83</v>
      </c>
    </row>
    <row r="27" spans="3:13">
      <c r="J27" s="42">
        <v>1</v>
      </c>
      <c r="K27" s="42" t="s">
        <v>84</v>
      </c>
      <c r="L27" s="42" t="s">
        <v>85</v>
      </c>
      <c r="M27" s="42">
        <v>1</v>
      </c>
    </row>
    <row r="28" spans="3:13">
      <c r="J28" s="42">
        <v>2</v>
      </c>
      <c r="K28" s="42" t="s">
        <v>86</v>
      </c>
      <c r="L28" s="42" t="s">
        <v>87</v>
      </c>
      <c r="M28" s="42">
        <v>7</v>
      </c>
    </row>
    <row r="29" spans="3:13">
      <c r="J29" s="42">
        <v>3</v>
      </c>
      <c r="K29" s="42" t="s">
        <v>88</v>
      </c>
      <c r="L29" s="42" t="s">
        <v>89</v>
      </c>
      <c r="M29" s="42">
        <v>2</v>
      </c>
    </row>
    <row r="30" spans="3:13">
      <c r="J30" s="42">
        <v>4</v>
      </c>
      <c r="K30" s="42" t="s">
        <v>14</v>
      </c>
      <c r="L30" s="42" t="s">
        <v>85</v>
      </c>
      <c r="M30" s="42">
        <v>3</v>
      </c>
    </row>
    <row r="31" spans="3:13">
      <c r="J31" s="42">
        <v>5</v>
      </c>
      <c r="K31" s="42" t="s">
        <v>90</v>
      </c>
      <c r="L31" s="42" t="s">
        <v>87</v>
      </c>
      <c r="M31" s="42">
        <v>3</v>
      </c>
    </row>
    <row r="32" spans="3:13">
      <c r="J32" s="42">
        <v>6</v>
      </c>
      <c r="K32" s="42" t="s">
        <v>91</v>
      </c>
      <c r="L32" s="42" t="s">
        <v>89</v>
      </c>
      <c r="M32" s="42">
        <v>4</v>
      </c>
    </row>
    <row r="33" spans="10:13">
      <c r="J33" s="42">
        <v>7</v>
      </c>
      <c r="K33" s="42" t="s">
        <v>92</v>
      </c>
      <c r="L33" s="42" t="s">
        <v>85</v>
      </c>
      <c r="M33" s="42">
        <v>8</v>
      </c>
    </row>
    <row r="34" spans="10:13">
      <c r="J34" s="42">
        <v>8</v>
      </c>
      <c r="K34" s="42" t="s">
        <v>93</v>
      </c>
      <c r="L34" s="42" t="s">
        <v>87</v>
      </c>
      <c r="M34" s="42">
        <v>2</v>
      </c>
    </row>
    <row r="35" spans="10:13">
      <c r="J35" s="42">
        <v>9</v>
      </c>
      <c r="K35" s="42" t="s">
        <v>94</v>
      </c>
      <c r="L35" s="42" t="s">
        <v>89</v>
      </c>
      <c r="M35" s="42">
        <v>9</v>
      </c>
    </row>
    <row r="38" spans="10:13">
      <c r="K38" s="81" t="s">
        <v>82</v>
      </c>
      <c r="L38" s="9" t="s">
        <v>85</v>
      </c>
    </row>
    <row r="40" spans="10:13">
      <c r="J40" s="80" t="s">
        <v>81</v>
      </c>
      <c r="K40" s="80" t="s">
        <v>4</v>
      </c>
      <c r="L40" s="80" t="s">
        <v>82</v>
      </c>
      <c r="M40" s="80" t="s">
        <v>83</v>
      </c>
    </row>
    <row r="41" spans="10:13">
      <c r="J41" s="9" cm="1">
        <f t="array" ref="J41:M43">_xlfn._xlws.FILTER(J26:M35,L26:L35=L38)</f>
        <v>1</v>
      </c>
      <c r="K41" s="9" t="str">
        <v>Kaushal</v>
      </c>
      <c r="L41" s="9" t="str">
        <v>Red</v>
      </c>
      <c r="M41" s="9">
        <v>1</v>
      </c>
    </row>
    <row r="42" spans="10:13">
      <c r="J42" s="9">
        <v>4</v>
      </c>
      <c r="K42" s="9" t="str">
        <v>Amit</v>
      </c>
      <c r="L42" s="9" t="str">
        <v>Red</v>
      </c>
      <c r="M42" s="9">
        <v>3</v>
      </c>
    </row>
    <row r="43" spans="10:13">
      <c r="J43" s="9">
        <v>7</v>
      </c>
      <c r="K43" s="9" t="str">
        <v>Suraj</v>
      </c>
      <c r="L43" s="9" t="str">
        <v>Red</v>
      </c>
      <c r="M43" s="9">
        <v>8</v>
      </c>
    </row>
    <row r="45" spans="10:13">
      <c r="J45" cm="1">
        <f t="array" ref="J45:M47">_xlfn._xlws.FILTER(J26:M35,L26:L35=L38)</f>
        <v>1</v>
      </c>
      <c r="K45" t="str">
        <v>Kaushal</v>
      </c>
      <c r="L45" t="str">
        <v>Red</v>
      </c>
      <c r="M45">
        <v>1</v>
      </c>
    </row>
    <row r="46" spans="10:13">
      <c r="J46">
        <v>4</v>
      </c>
      <c r="K46" t="str">
        <v>Amit</v>
      </c>
      <c r="L46" t="str">
        <v>Red</v>
      </c>
      <c r="M46">
        <v>3</v>
      </c>
    </row>
    <row r="47" spans="10:13">
      <c r="J47">
        <v>7</v>
      </c>
      <c r="K47" t="str">
        <v>Suraj</v>
      </c>
      <c r="L47" t="str">
        <v>Red</v>
      </c>
      <c r="M47">
        <v>8</v>
      </c>
    </row>
  </sheetData>
  <mergeCells count="1">
    <mergeCell ref="C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1:O13"/>
  <sheetViews>
    <sheetView workbookViewId="0">
      <selection activeCell="H9" sqref="H9"/>
    </sheetView>
  </sheetViews>
  <sheetFormatPr defaultColWidth="9" defaultRowHeight="14.4"/>
  <cols>
    <col min="4" max="4" width="15.6640625" customWidth="1"/>
  </cols>
  <sheetData>
    <row r="1" spans="2:15">
      <c r="B1" s="143" t="s">
        <v>95</v>
      </c>
      <c r="C1" s="143"/>
      <c r="D1" s="143"/>
      <c r="E1" s="143"/>
      <c r="F1" s="143"/>
      <c r="G1" s="143"/>
      <c r="K1" s="144" t="s">
        <v>96</v>
      </c>
      <c r="L1" s="144"/>
      <c r="M1" s="144"/>
      <c r="N1" s="144"/>
      <c r="O1" s="144"/>
    </row>
    <row r="2" spans="2:15">
      <c r="B2" s="9" t="s">
        <v>97</v>
      </c>
      <c r="C2" s="9" t="s">
        <v>98</v>
      </c>
      <c r="D2" s="9" t="s">
        <v>99</v>
      </c>
      <c r="K2" s="9" t="s">
        <v>100</v>
      </c>
      <c r="L2" s="9" t="s">
        <v>101</v>
      </c>
      <c r="M2" s="9" t="s">
        <v>102</v>
      </c>
      <c r="N2" s="9" t="s">
        <v>103</v>
      </c>
      <c r="O2" s="9" t="s">
        <v>104</v>
      </c>
    </row>
    <row r="3" spans="2:15">
      <c r="B3" s="9" t="s">
        <v>105</v>
      </c>
      <c r="C3" s="9" t="s">
        <v>106</v>
      </c>
      <c r="D3" s="9" t="b">
        <f>B3=C3</f>
        <v>0</v>
      </c>
      <c r="E3" t="b">
        <f>B3=C3</f>
        <v>0</v>
      </c>
      <c r="K3" s="9">
        <v>1</v>
      </c>
      <c r="L3" s="77" t="s">
        <v>107</v>
      </c>
      <c r="M3" s="77">
        <v>57</v>
      </c>
      <c r="N3" s="77">
        <v>57</v>
      </c>
      <c r="O3" s="77" t="b">
        <f>M3=N3</f>
        <v>1</v>
      </c>
    </row>
    <row r="4" spans="2:15">
      <c r="B4" s="9" t="s">
        <v>108</v>
      </c>
      <c r="C4" s="9" t="s">
        <v>109</v>
      </c>
      <c r="D4" s="9"/>
      <c r="K4" s="9">
        <v>2</v>
      </c>
      <c r="L4" s="9" t="s">
        <v>110</v>
      </c>
      <c r="M4" s="9">
        <v>68</v>
      </c>
      <c r="N4" s="9">
        <v>65</v>
      </c>
      <c r="O4" s="9"/>
    </row>
    <row r="5" spans="2:15">
      <c r="B5" s="9" t="s">
        <v>111</v>
      </c>
      <c r="C5" s="9" t="s">
        <v>112</v>
      </c>
      <c r="D5" s="9"/>
      <c r="K5" s="9">
        <v>3</v>
      </c>
      <c r="L5" s="9" t="s">
        <v>113</v>
      </c>
      <c r="M5" s="9">
        <v>70</v>
      </c>
      <c r="N5" s="9">
        <v>70</v>
      </c>
      <c r="O5" s="9"/>
    </row>
    <row r="6" spans="2:15">
      <c r="B6" s="9" t="s">
        <v>105</v>
      </c>
      <c r="C6" s="9" t="s">
        <v>105</v>
      </c>
      <c r="D6" s="9"/>
      <c r="K6" s="9">
        <v>4</v>
      </c>
      <c r="L6" s="9" t="s">
        <v>114</v>
      </c>
      <c r="M6" s="9">
        <v>55</v>
      </c>
      <c r="N6" s="9">
        <v>50</v>
      </c>
      <c r="O6" s="9"/>
    </row>
    <row r="7" spans="2:15">
      <c r="B7" s="9" t="s">
        <v>108</v>
      </c>
      <c r="C7" s="9" t="s">
        <v>108</v>
      </c>
      <c r="D7" s="9"/>
      <c r="K7" s="9">
        <v>5</v>
      </c>
      <c r="L7" s="9" t="s">
        <v>115</v>
      </c>
      <c r="M7" s="9">
        <v>67</v>
      </c>
      <c r="N7" s="9">
        <v>54</v>
      </c>
      <c r="O7" s="9"/>
    </row>
    <row r="8" spans="2:15">
      <c r="B8" s="9" t="s">
        <v>111</v>
      </c>
      <c r="C8" s="9" t="s">
        <v>111</v>
      </c>
      <c r="D8" s="9"/>
      <c r="K8" s="9">
        <v>6</v>
      </c>
      <c r="L8" s="9" t="s">
        <v>116</v>
      </c>
      <c r="M8" s="9">
        <v>160</v>
      </c>
      <c r="N8" s="9">
        <v>160</v>
      </c>
      <c r="O8" s="9"/>
    </row>
    <row r="9" spans="2:15">
      <c r="K9" s="9">
        <v>7</v>
      </c>
      <c r="L9" s="9" t="s">
        <v>117</v>
      </c>
      <c r="M9" s="9">
        <v>134</v>
      </c>
      <c r="N9" s="9">
        <v>125</v>
      </c>
      <c r="O9" s="9"/>
    </row>
    <row r="10" spans="2:15">
      <c r="K10" s="9">
        <v>8</v>
      </c>
      <c r="L10" s="9" t="s">
        <v>118</v>
      </c>
      <c r="M10" s="9">
        <v>450</v>
      </c>
      <c r="N10" s="9">
        <v>455</v>
      </c>
      <c r="O10" s="9"/>
    </row>
    <row r="11" spans="2:15">
      <c r="C11" s="141" t="s">
        <v>119</v>
      </c>
      <c r="D11" s="141"/>
      <c r="E11" s="141"/>
      <c r="K11" s="9">
        <v>9</v>
      </c>
      <c r="L11" s="9" t="s">
        <v>120</v>
      </c>
      <c r="M11" s="9">
        <v>378</v>
      </c>
      <c r="N11" s="9">
        <v>378</v>
      </c>
      <c r="O11" s="9"/>
    </row>
    <row r="12" spans="2:15">
      <c r="K12" s="9">
        <v>10</v>
      </c>
      <c r="L12" s="9" t="s">
        <v>121</v>
      </c>
      <c r="M12" s="9">
        <v>52</v>
      </c>
      <c r="N12" s="9">
        <v>54</v>
      </c>
      <c r="O12" s="9"/>
    </row>
    <row r="13" spans="2:15">
      <c r="K13" s="9">
        <v>11</v>
      </c>
      <c r="L13" s="9" t="s">
        <v>122</v>
      </c>
      <c r="M13" s="9">
        <v>125</v>
      </c>
      <c r="N13" s="9">
        <v>90</v>
      </c>
      <c r="O13" s="9"/>
    </row>
  </sheetData>
  <mergeCells count="3">
    <mergeCell ref="B1:G1"/>
    <mergeCell ref="K1:O1"/>
    <mergeCell ref="C11:E1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B10:B19"/>
  <sheetViews>
    <sheetView workbookViewId="0">
      <selection activeCell="O8" sqref="O8"/>
    </sheetView>
  </sheetViews>
  <sheetFormatPr defaultColWidth="9" defaultRowHeight="14.4"/>
  <cols>
    <col min="2" max="2" width="18.21875" customWidth="1"/>
    <col min="3" max="3" width="8.88671875" customWidth="1"/>
    <col min="6" max="6" width="8.88671875" customWidth="1"/>
  </cols>
  <sheetData>
    <row r="10" spans="2:2">
      <c r="B10" t="s">
        <v>123</v>
      </c>
    </row>
    <row r="11" spans="2:2">
      <c r="B11" t="s">
        <v>124</v>
      </c>
    </row>
    <row r="12" spans="2:2">
      <c r="B12" t="s">
        <v>125</v>
      </c>
    </row>
    <row r="13" spans="2:2">
      <c r="B13" t="s">
        <v>126</v>
      </c>
    </row>
    <row r="14" spans="2:2">
      <c r="B14" t="s">
        <v>127</v>
      </c>
    </row>
    <row r="15" spans="2:2">
      <c r="B15" t="s">
        <v>128</v>
      </c>
    </row>
    <row r="16" spans="2:2">
      <c r="B16" t="s">
        <v>129</v>
      </c>
    </row>
    <row r="17" spans="2:2">
      <c r="B17" t="s">
        <v>130</v>
      </c>
    </row>
    <row r="18" spans="2:2">
      <c r="B18" t="s">
        <v>131</v>
      </c>
    </row>
    <row r="19" spans="2:2">
      <c r="B19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U40"/>
  <sheetViews>
    <sheetView topLeftCell="F7" zoomScaleNormal="100" workbookViewId="0">
      <selection activeCell="O35" sqref="O35"/>
    </sheetView>
  </sheetViews>
  <sheetFormatPr defaultColWidth="9" defaultRowHeight="14.4"/>
  <cols>
    <col min="2" max="2" width="11.6640625" customWidth="1"/>
    <col min="8" max="8" width="12.109375" customWidth="1"/>
    <col min="9" max="9" width="22.6640625" customWidth="1"/>
    <col min="12" max="12" width="17.6640625" customWidth="1"/>
    <col min="13" max="13" width="13" customWidth="1"/>
  </cols>
  <sheetData>
    <row r="1" spans="1:21" ht="45">
      <c r="A1" s="149" t="s">
        <v>133</v>
      </c>
      <c r="B1" s="149"/>
      <c r="C1" s="149"/>
      <c r="D1" s="149"/>
      <c r="E1" s="149"/>
      <c r="F1" s="149"/>
      <c r="G1" s="149"/>
      <c r="H1" s="149"/>
      <c r="I1" s="149"/>
      <c r="L1" s="150" t="s">
        <v>134</v>
      </c>
      <c r="M1" s="150"/>
      <c r="N1" s="150"/>
      <c r="O1" s="150"/>
    </row>
    <row r="2" spans="1:21">
      <c r="A2" s="147" t="s">
        <v>135</v>
      </c>
      <c r="B2" s="147"/>
      <c r="C2" s="147"/>
      <c r="D2" s="147"/>
      <c r="E2" s="147"/>
      <c r="F2" s="147"/>
      <c r="G2" s="147"/>
      <c r="H2" s="147"/>
      <c r="I2" s="147"/>
      <c r="L2" s="66" t="s">
        <v>136</v>
      </c>
      <c r="M2" s="66" t="s">
        <v>137</v>
      </c>
      <c r="N2" s="66" t="s">
        <v>138</v>
      </c>
    </row>
    <row r="3" spans="1:21">
      <c r="A3" s="147" t="s">
        <v>139</v>
      </c>
      <c r="B3" s="147"/>
      <c r="C3" s="147"/>
      <c r="D3" s="147"/>
      <c r="E3" s="147"/>
      <c r="F3" s="147"/>
      <c r="G3" s="147"/>
      <c r="H3" s="147"/>
      <c r="I3" s="147"/>
      <c r="L3" s="12" t="s">
        <v>140</v>
      </c>
      <c r="M3" s="6" t="s">
        <v>141</v>
      </c>
      <c r="N3">
        <f>COUNTIF(L3:L14,M3)</f>
        <v>10</v>
      </c>
      <c r="O3" s="6" t="s">
        <v>142</v>
      </c>
      <c r="R3" s="6" t="s">
        <v>143</v>
      </c>
    </row>
    <row r="4" spans="1:21">
      <c r="A4" s="147" t="s">
        <v>144</v>
      </c>
      <c r="B4" s="147"/>
      <c r="C4" s="147"/>
      <c r="D4" s="147"/>
      <c r="E4" s="147"/>
      <c r="F4" s="147"/>
      <c r="G4" s="147"/>
      <c r="H4" s="147"/>
      <c r="I4" s="147"/>
      <c r="L4" s="12" t="s">
        <v>145</v>
      </c>
      <c r="M4" s="6" t="s">
        <v>146</v>
      </c>
      <c r="O4" s="6" t="s">
        <v>147</v>
      </c>
    </row>
    <row r="5" spans="1:21">
      <c r="A5" s="147" t="s">
        <v>148</v>
      </c>
      <c r="B5" s="147"/>
      <c r="C5" s="147"/>
      <c r="D5" s="147"/>
      <c r="E5" s="147"/>
      <c r="F5" s="147"/>
      <c r="G5" s="147"/>
      <c r="H5" s="147"/>
      <c r="I5" s="147"/>
      <c r="L5" s="12" t="s">
        <v>149</v>
      </c>
    </row>
    <row r="6" spans="1:21">
      <c r="A6" s="148"/>
      <c r="B6" s="148"/>
      <c r="C6" s="148"/>
      <c r="D6" s="148"/>
      <c r="E6" s="148"/>
      <c r="F6" s="148"/>
      <c r="G6" s="148"/>
      <c r="H6" s="148"/>
      <c r="I6" s="148"/>
      <c r="L6" s="12" t="s">
        <v>150</v>
      </c>
    </row>
    <row r="7" spans="1:21">
      <c r="A7" s="148"/>
      <c r="B7" s="148"/>
      <c r="C7" s="148"/>
      <c r="D7" s="148"/>
      <c r="E7" s="148"/>
      <c r="F7" s="148"/>
      <c r="G7" s="148"/>
      <c r="H7" s="148"/>
      <c r="I7" s="148"/>
      <c r="L7" s="12" t="s">
        <v>151</v>
      </c>
    </row>
    <row r="8" spans="1:21">
      <c r="A8" s="148"/>
      <c r="B8" s="148"/>
      <c r="C8" s="148"/>
      <c r="D8" s="148"/>
      <c r="E8" s="148"/>
      <c r="F8" s="148"/>
      <c r="G8" s="148"/>
      <c r="H8" s="148"/>
      <c r="I8" s="148"/>
      <c r="L8" s="12" t="s">
        <v>152</v>
      </c>
    </row>
    <row r="9" spans="1:21">
      <c r="A9" s="141" t="s">
        <v>153</v>
      </c>
      <c r="B9" s="141"/>
      <c r="L9" s="9">
        <v>24</v>
      </c>
    </row>
    <row r="10" spans="1:21">
      <c r="A10" s="9" t="s">
        <v>154</v>
      </c>
      <c r="B10" s="9" t="s">
        <v>155</v>
      </c>
      <c r="L10" s="12" t="s">
        <v>156</v>
      </c>
    </row>
    <row r="11" spans="1:21">
      <c r="A11" s="9" t="s">
        <v>157</v>
      </c>
      <c r="B11" s="9">
        <f>COUNTIF($A$11:A11,A11)</f>
        <v>1</v>
      </c>
      <c r="C11">
        <f>COUNTIF(A11:A18,A11)</f>
        <v>3</v>
      </c>
      <c r="D11">
        <f>COUNTIF($A$11:A11,A11)</f>
        <v>1</v>
      </c>
      <c r="L11" s="12" t="s">
        <v>158</v>
      </c>
    </row>
    <row r="12" spans="1:21">
      <c r="A12" s="9" t="s">
        <v>159</v>
      </c>
      <c r="B12" s="9">
        <f>COUNTIF($A$11:A12,A12)</f>
        <v>1</v>
      </c>
      <c r="D12">
        <f>COUNTIF($A$11:A12,A12)</f>
        <v>1</v>
      </c>
      <c r="L12" s="9" t="e">
        <v>#N/A</v>
      </c>
    </row>
    <row r="13" spans="1:21">
      <c r="A13" s="9" t="s">
        <v>160</v>
      </c>
      <c r="B13" s="9">
        <f>COUNTIF($A$11:A13,A13)</f>
        <v>1</v>
      </c>
      <c r="D13">
        <f>COUNTIF($A$11:A13,A13)</f>
        <v>1</v>
      </c>
      <c r="L13" s="12" t="s">
        <v>161</v>
      </c>
    </row>
    <row r="14" spans="1:21">
      <c r="A14" s="9" t="s">
        <v>157</v>
      </c>
      <c r="B14" s="9">
        <f>COUNTIF($A$11:A14,A14)</f>
        <v>2</v>
      </c>
      <c r="D14">
        <f>COUNTIF($A$11:A14,A14)</f>
        <v>2</v>
      </c>
      <c r="L14" s="12" t="s">
        <v>162</v>
      </c>
    </row>
    <row r="15" spans="1:21">
      <c r="A15" s="9" t="s">
        <v>163</v>
      </c>
      <c r="B15" s="9">
        <f>COUNTIF($A$11:A15,A15)</f>
        <v>1</v>
      </c>
      <c r="D15">
        <f>COUNTIF($A$11:A15,A15)</f>
        <v>1</v>
      </c>
    </row>
    <row r="16" spans="1:21">
      <c r="A16" s="9" t="s">
        <v>159</v>
      </c>
      <c r="B16" s="9">
        <f>COUNTIF($A$11:A16,A16)</f>
        <v>2</v>
      </c>
      <c r="D16">
        <f>COUNTIF($A$11:A16,A16)</f>
        <v>2</v>
      </c>
      <c r="M16" s="145" t="s">
        <v>164</v>
      </c>
      <c r="N16" s="145"/>
      <c r="O16" s="145"/>
      <c r="P16" s="145"/>
      <c r="Q16" s="145"/>
      <c r="R16" s="145"/>
      <c r="S16" s="145"/>
      <c r="T16" s="145"/>
      <c r="U16" s="145"/>
    </row>
    <row r="17" spans="1:21">
      <c r="A17" s="9" t="s">
        <v>163</v>
      </c>
      <c r="B17" s="9">
        <f>COUNTIF($A$11:A17,A17)</f>
        <v>2</v>
      </c>
      <c r="D17">
        <f>COUNTIF($A$11:A17,A17)</f>
        <v>2</v>
      </c>
      <c r="L17" s="59" t="s">
        <v>165</v>
      </c>
      <c r="M17" s="145"/>
      <c r="N17" s="145"/>
      <c r="O17" s="145"/>
      <c r="P17" s="145"/>
      <c r="Q17" s="145"/>
      <c r="R17" s="145"/>
      <c r="S17" s="145"/>
      <c r="T17" s="145"/>
      <c r="U17" s="145"/>
    </row>
    <row r="18" spans="1:21">
      <c r="A18" s="9" t="s">
        <v>157</v>
      </c>
      <c r="B18" s="9">
        <f>COUNTIF($A$11:A18,A18)</f>
        <v>3</v>
      </c>
      <c r="D18">
        <f>COUNTIF($A$11:A18,A18)</f>
        <v>3</v>
      </c>
      <c r="L18" s="49" t="s">
        <v>166</v>
      </c>
      <c r="O18">
        <f>COUNTIF(L18:L23,"a*???")</f>
        <v>2</v>
      </c>
    </row>
    <row r="19" spans="1:21">
      <c r="L19" s="49" t="s">
        <v>167</v>
      </c>
    </row>
    <row r="20" spans="1:21">
      <c r="D20" s="76" t="s">
        <v>168</v>
      </c>
      <c r="E20" s="76" t="s">
        <v>169</v>
      </c>
      <c r="G20" s="59" t="s">
        <v>168</v>
      </c>
      <c r="H20" s="59" t="s">
        <v>170</v>
      </c>
      <c r="I20" s="6" t="s">
        <v>171</v>
      </c>
      <c r="L20" s="49" t="s">
        <v>172</v>
      </c>
      <c r="M20" s="146" t="s">
        <v>173</v>
      </c>
      <c r="N20" s="145"/>
      <c r="O20" s="145"/>
      <c r="P20" s="145"/>
      <c r="Q20" s="145"/>
      <c r="R20" s="145"/>
      <c r="S20" s="145"/>
      <c r="T20" s="145"/>
      <c r="U20" s="145"/>
    </row>
    <row r="21" spans="1:21">
      <c r="D21" s="12" t="s">
        <v>174</v>
      </c>
      <c r="E21" s="12" t="s">
        <v>175</v>
      </c>
      <c r="G21" s="9">
        <v>2017</v>
      </c>
      <c r="H21" s="9">
        <f>COUNTIF($D$21:$D$29,G21&amp;"*")</f>
        <v>2</v>
      </c>
      <c r="L21" s="49" t="s">
        <v>176</v>
      </c>
      <c r="M21" s="146"/>
      <c r="N21" s="145"/>
      <c r="O21" s="145"/>
      <c r="P21" s="145"/>
      <c r="Q21" s="145"/>
      <c r="R21" s="145"/>
      <c r="S21" s="145"/>
      <c r="T21" s="145"/>
      <c r="U21" s="145"/>
    </row>
    <row r="22" spans="1:21">
      <c r="D22" s="12" t="s">
        <v>174</v>
      </c>
      <c r="E22" s="12" t="s">
        <v>177</v>
      </c>
      <c r="G22" s="9">
        <v>2018</v>
      </c>
      <c r="H22" s="9"/>
      <c r="L22" s="42">
        <v>234</v>
      </c>
      <c r="O22">
        <f>COUNTIF(L18:L24,"?a?")</f>
        <v>1</v>
      </c>
    </row>
    <row r="23" spans="1:21">
      <c r="D23" s="12" t="s">
        <v>178</v>
      </c>
      <c r="E23" s="12" t="s">
        <v>175</v>
      </c>
      <c r="G23" s="9">
        <v>2019</v>
      </c>
      <c r="H23" s="9"/>
      <c r="L23" s="49" t="s">
        <v>179</v>
      </c>
    </row>
    <row r="24" spans="1:21">
      <c r="D24" s="12" t="s">
        <v>178</v>
      </c>
      <c r="E24" s="12" t="s">
        <v>177</v>
      </c>
      <c r="G24" s="9">
        <v>2020</v>
      </c>
      <c r="H24" s="9"/>
      <c r="L24" s="49" t="s">
        <v>180</v>
      </c>
      <c r="M24" s="145" t="s">
        <v>181</v>
      </c>
      <c r="N24" s="145"/>
      <c r="O24" s="145"/>
      <c r="P24" s="145"/>
      <c r="Q24" s="145"/>
      <c r="R24" s="145"/>
      <c r="S24" s="145"/>
      <c r="T24" s="145"/>
      <c r="U24" s="145"/>
    </row>
    <row r="25" spans="1:21">
      <c r="D25" s="12" t="s">
        <v>182</v>
      </c>
      <c r="E25" s="12" t="s">
        <v>183</v>
      </c>
      <c r="L25" s="132" t="s">
        <v>1346</v>
      </c>
      <c r="M25" s="145"/>
      <c r="N25" s="145"/>
      <c r="O25" s="145"/>
      <c r="P25" s="145"/>
      <c r="Q25" s="145"/>
      <c r="R25" s="145"/>
      <c r="S25" s="145"/>
      <c r="T25" s="145"/>
      <c r="U25" s="145"/>
    </row>
    <row r="26" spans="1:21">
      <c r="D26" s="12" t="s">
        <v>182</v>
      </c>
      <c r="E26" s="12" t="s">
        <v>175</v>
      </c>
      <c r="L26" s="132" t="s">
        <v>1347</v>
      </c>
      <c r="O26">
        <f>COUNTIF(L18:L25,"???")</f>
        <v>2</v>
      </c>
    </row>
    <row r="27" spans="1:21">
      <c r="D27" s="12" t="s">
        <v>184</v>
      </c>
      <c r="E27" s="12" t="s">
        <v>183</v>
      </c>
    </row>
    <row r="28" spans="1:21">
      <c r="D28" s="12" t="s">
        <v>184</v>
      </c>
      <c r="E28" s="12" t="s">
        <v>175</v>
      </c>
      <c r="M28" s="145" t="s">
        <v>185</v>
      </c>
      <c r="N28" s="145"/>
      <c r="O28" s="145"/>
      <c r="P28" s="145"/>
      <c r="Q28" s="145"/>
      <c r="R28" s="145"/>
      <c r="S28" s="145"/>
      <c r="T28" s="145"/>
      <c r="U28" s="145"/>
    </row>
    <row r="29" spans="1:21">
      <c r="D29" s="12" t="s">
        <v>184</v>
      </c>
      <c r="E29" s="12" t="s">
        <v>177</v>
      </c>
      <c r="M29" s="145"/>
      <c r="N29" s="145"/>
      <c r="O29" s="145"/>
      <c r="P29" s="145"/>
      <c r="Q29" s="145"/>
      <c r="R29" s="145"/>
      <c r="S29" s="145"/>
      <c r="T29" s="145"/>
      <c r="U29" s="145"/>
    </row>
    <row r="30" spans="1:21">
      <c r="I30">
        <f>COUNTIF(B11:B18,1)</f>
        <v>4</v>
      </c>
      <c r="O30">
        <f>COUNTIF(L18:L24,"*????")</f>
        <v>5</v>
      </c>
    </row>
    <row r="32" spans="1:21">
      <c r="M32" s="145" t="s">
        <v>186</v>
      </c>
      <c r="N32" s="145"/>
      <c r="O32" s="145"/>
      <c r="P32" s="145"/>
      <c r="Q32" s="145"/>
      <c r="R32" s="145"/>
      <c r="S32" s="145"/>
      <c r="T32" s="145"/>
      <c r="U32" s="145"/>
    </row>
    <row r="33" spans="3:21">
      <c r="C33" s="9" t="s">
        <v>157</v>
      </c>
      <c r="D33" s="9">
        <f>COUNTIF($A$11:C33,C33)</f>
        <v>4</v>
      </c>
      <c r="E33" s="9">
        <v>2017</v>
      </c>
      <c r="G33">
        <f>COUNTIFS(C33:C40,C33,E33:E40,E33,D33:D40,D33)</f>
        <v>2</v>
      </c>
      <c r="M33" s="145"/>
      <c r="N33" s="145"/>
      <c r="O33" s="145"/>
      <c r="P33" s="145"/>
      <c r="Q33" s="145"/>
      <c r="R33" s="145"/>
      <c r="S33" s="145"/>
      <c r="T33" s="145"/>
      <c r="U33" s="145"/>
    </row>
    <row r="34" spans="3:21">
      <c r="C34" s="9" t="s">
        <v>159</v>
      </c>
      <c r="D34" s="9">
        <f>COUNTIF($A$11:C34,C34)</f>
        <v>3</v>
      </c>
      <c r="E34" s="9">
        <v>2018</v>
      </c>
      <c r="O34">
        <f>COUNTIF(L18:L26,"a*a")</f>
        <v>2</v>
      </c>
    </row>
    <row r="35" spans="3:21">
      <c r="C35" s="9" t="s">
        <v>160</v>
      </c>
      <c r="D35" s="9">
        <f>COUNTIF($A$11:C35,C35)</f>
        <v>2</v>
      </c>
      <c r="E35" s="9">
        <v>2019</v>
      </c>
    </row>
    <row r="36" spans="3:21">
      <c r="C36" s="9" t="s">
        <v>157</v>
      </c>
      <c r="D36" s="9">
        <f>COUNTIF($A$11:C36,C36)</f>
        <v>5</v>
      </c>
      <c r="E36" s="9">
        <v>2020</v>
      </c>
    </row>
    <row r="37" spans="3:21">
      <c r="C37" s="9" t="s">
        <v>163</v>
      </c>
      <c r="D37" s="9">
        <f>COUNTIF($A$11:C37,C37)</f>
        <v>3</v>
      </c>
      <c r="E37" s="9">
        <v>2017</v>
      </c>
    </row>
    <row r="38" spans="3:21">
      <c r="C38" s="9" t="s">
        <v>159</v>
      </c>
      <c r="D38" s="9">
        <f>COUNTIF($A$11:C38,C38)</f>
        <v>4</v>
      </c>
      <c r="E38" s="9">
        <v>2018</v>
      </c>
    </row>
    <row r="39" spans="3:21">
      <c r="C39" s="9" t="s">
        <v>163</v>
      </c>
      <c r="D39" s="9">
        <f>COUNTIF($A$11:C39,C39)</f>
        <v>4</v>
      </c>
      <c r="E39" s="9">
        <v>2019</v>
      </c>
    </row>
    <row r="40" spans="3:21">
      <c r="C40" s="9" t="s">
        <v>157</v>
      </c>
      <c r="D40" s="9">
        <v>4</v>
      </c>
      <c r="E40" s="9">
        <v>2017</v>
      </c>
    </row>
  </sheetData>
  <mergeCells count="15">
    <mergeCell ref="A1:I1"/>
    <mergeCell ref="L1:O1"/>
    <mergeCell ref="A2:I2"/>
    <mergeCell ref="A3:I3"/>
    <mergeCell ref="A4:I4"/>
    <mergeCell ref="A5:I5"/>
    <mergeCell ref="A6:I6"/>
    <mergeCell ref="A7:I7"/>
    <mergeCell ref="A8:I8"/>
    <mergeCell ref="A9:B9"/>
    <mergeCell ref="M32:U33"/>
    <mergeCell ref="M16:U17"/>
    <mergeCell ref="M20:U21"/>
    <mergeCell ref="M24:U25"/>
    <mergeCell ref="M28:U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D16"/>
  <sheetViews>
    <sheetView workbookViewId="0">
      <selection activeCell="D6" sqref="D6"/>
    </sheetView>
  </sheetViews>
  <sheetFormatPr defaultColWidth="9" defaultRowHeight="14.4"/>
  <cols>
    <col min="1" max="3" width="13.21875" style="39" customWidth="1"/>
    <col min="4" max="4" width="19.109375" customWidth="1"/>
  </cols>
  <sheetData>
    <row r="1" spans="1:4" ht="20.399999999999999">
      <c r="A1" s="151" t="s">
        <v>187</v>
      </c>
      <c r="B1" s="151"/>
      <c r="C1" s="151"/>
      <c r="D1" s="151"/>
    </row>
    <row r="2" spans="1:4">
      <c r="A2" s="46" t="s">
        <v>188</v>
      </c>
      <c r="B2" s="46" t="s">
        <v>187</v>
      </c>
      <c r="C2" s="46" t="s">
        <v>189</v>
      </c>
      <c r="D2" s="10"/>
    </row>
    <row r="3" spans="1:4">
      <c r="A3" s="42" t="s">
        <v>190</v>
      </c>
      <c r="B3" s="42" t="s">
        <v>191</v>
      </c>
      <c r="C3" s="42" t="str">
        <f>SUBSTITUTE(A3,"Office",B3)</f>
        <v>Microsoft Excel</v>
      </c>
      <c r="D3" t="str">
        <f>SUBSTITUTE(A3,"Office","Power Point")</f>
        <v>Microsoft Power Point</v>
      </c>
    </row>
    <row r="4" spans="1:4">
      <c r="A4" s="42" t="s">
        <v>190</v>
      </c>
      <c r="B4" s="42" t="s">
        <v>192</v>
      </c>
      <c r="C4" s="42"/>
      <c r="D4" t="str">
        <f>SUBSTITUTE(A4,"off",B4)</f>
        <v>Microsoft Office</v>
      </c>
    </row>
    <row r="5" spans="1:4">
      <c r="A5" s="42" t="s">
        <v>190</v>
      </c>
      <c r="B5" s="42" t="s">
        <v>193</v>
      </c>
      <c r="C5" s="42"/>
      <c r="D5" t="str">
        <f>SUBSTITUTE(A4,"Office",B4)</f>
        <v>Microsoft Word</v>
      </c>
    </row>
    <row r="6" spans="1:4">
      <c r="A6" s="42" t="s">
        <v>190</v>
      </c>
      <c r="B6" s="42" t="s">
        <v>194</v>
      </c>
      <c r="C6" s="42"/>
    </row>
    <row r="7" spans="1:4">
      <c r="A7" s="42" t="s">
        <v>190</v>
      </c>
      <c r="B7" s="42" t="s">
        <v>195</v>
      </c>
      <c r="C7" s="42"/>
    </row>
    <row r="8" spans="1:4">
      <c r="A8" s="42" t="s">
        <v>190</v>
      </c>
      <c r="B8" s="42" t="s">
        <v>196</v>
      </c>
      <c r="C8" s="42"/>
    </row>
    <row r="9" spans="1:4">
      <c r="A9" s="42" t="s">
        <v>190</v>
      </c>
      <c r="B9" s="42" t="s">
        <v>197</v>
      </c>
      <c r="C9" s="42"/>
    </row>
    <row r="10" spans="1:4">
      <c r="A10" s="42" t="s">
        <v>190</v>
      </c>
      <c r="B10" s="42" t="s">
        <v>198</v>
      </c>
      <c r="C10" s="42"/>
    </row>
    <row r="11" spans="1:4">
      <c r="A11" s="42" t="s">
        <v>190</v>
      </c>
      <c r="B11" s="42" t="s">
        <v>199</v>
      </c>
      <c r="C11" s="42"/>
    </row>
    <row r="12" spans="1:4">
      <c r="A12" s="42" t="s">
        <v>190</v>
      </c>
      <c r="B12" s="42" t="s">
        <v>200</v>
      </c>
      <c r="C12" s="42"/>
    </row>
    <row r="13" spans="1:4">
      <c r="A13" s="42" t="s">
        <v>190</v>
      </c>
      <c r="B13" s="42" t="s">
        <v>201</v>
      </c>
      <c r="C13" s="42"/>
    </row>
    <row r="14" spans="1:4">
      <c r="A14" s="42" t="s">
        <v>190</v>
      </c>
      <c r="B14" s="42" t="s">
        <v>202</v>
      </c>
      <c r="C14" s="42"/>
    </row>
    <row r="15" spans="1:4">
      <c r="A15" s="42" t="s">
        <v>190</v>
      </c>
      <c r="B15" s="42" t="s">
        <v>203</v>
      </c>
      <c r="C15" s="42"/>
    </row>
    <row r="16" spans="1:4">
      <c r="A16" s="42" t="s">
        <v>190</v>
      </c>
      <c r="B16" s="42" t="s">
        <v>204</v>
      </c>
      <c r="C16" s="42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>
      <selection activeCell="E9" sqref="E9"/>
    </sheetView>
  </sheetViews>
  <sheetFormatPr defaultColWidth="9" defaultRowHeight="14.4"/>
  <sheetData>
    <row r="1" spans="1:3">
      <c r="A1" t="s">
        <v>205</v>
      </c>
      <c r="B1" t="s">
        <v>206</v>
      </c>
    </row>
    <row r="2" spans="1:3">
      <c r="A2" t="s">
        <v>207</v>
      </c>
    </row>
    <row r="3" spans="1:3">
      <c r="A3" t="s">
        <v>208</v>
      </c>
      <c r="B3" t="str" cm="1">
        <f t="array" ref="B3:B11">_xlfn.UNIQUE(A1:A9,TRUE,FALSE)</f>
        <v>Ria</v>
      </c>
      <c r="C3" t="str" cm="1">
        <f t="array" ref="C3:C8">_xlfn.UNIQUE(A1:A10,FALSE,FALSE)</f>
        <v>Ria</v>
      </c>
    </row>
    <row r="4" spans="1:3">
      <c r="A4" t="s">
        <v>209</v>
      </c>
      <c r="B4" t="str">
        <v>Sia</v>
      </c>
      <c r="C4" t="str">
        <v>Sia</v>
      </c>
    </row>
    <row r="5" spans="1:3">
      <c r="A5" t="s">
        <v>210</v>
      </c>
      <c r="B5" t="str">
        <v>Samay</v>
      </c>
      <c r="C5" t="str">
        <v>Samay</v>
      </c>
    </row>
    <row r="6" spans="1:3">
      <c r="A6" t="s">
        <v>211</v>
      </c>
      <c r="B6" t="str">
        <v>Rahul</v>
      </c>
      <c r="C6" t="str">
        <v>Rahul</v>
      </c>
    </row>
    <row r="7" spans="1:3">
      <c r="A7" t="s">
        <v>205</v>
      </c>
      <c r="B7" t="str">
        <v>Vikas</v>
      </c>
      <c r="C7" t="str">
        <v>Vikas</v>
      </c>
    </row>
    <row r="8" spans="1:3">
      <c r="A8" t="s">
        <v>207</v>
      </c>
      <c r="B8" t="str">
        <v>Jhanvi</v>
      </c>
      <c r="C8" t="str">
        <v>Jhanvi</v>
      </c>
    </row>
    <row r="9" spans="1:3">
      <c r="A9" t="s">
        <v>208</v>
      </c>
      <c r="B9" t="str">
        <v>Ria</v>
      </c>
    </row>
    <row r="10" spans="1:3">
      <c r="A10" t="s">
        <v>210</v>
      </c>
      <c r="B10" t="str">
        <v>Sia</v>
      </c>
    </row>
    <row r="11" spans="1:3">
      <c r="B11" t="str">
        <v>Samay</v>
      </c>
    </row>
    <row r="12" spans="1:3">
      <c r="A12">
        <v>1</v>
      </c>
    </row>
    <row r="13" spans="1:3">
      <c r="A13">
        <v>2</v>
      </c>
    </row>
    <row r="14" spans="1:3">
      <c r="A14">
        <v>2</v>
      </c>
    </row>
    <row r="15" spans="1:3">
      <c r="A15">
        <v>3</v>
      </c>
    </row>
    <row r="16" spans="1:3">
      <c r="A16">
        <v>44</v>
      </c>
    </row>
    <row r="17" spans="1:1">
      <c r="A17">
        <v>55</v>
      </c>
    </row>
    <row r="18" spans="1:1">
      <c r="A18">
        <v>66</v>
      </c>
    </row>
    <row r="19" spans="1:1">
      <c r="A19">
        <v>33</v>
      </c>
    </row>
    <row r="20" spans="1:1">
      <c r="A20">
        <v>3</v>
      </c>
    </row>
    <row r="21" spans="1:1">
      <c r="A2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"/>
  <sheetViews>
    <sheetView workbookViewId="0">
      <selection activeCell="B2" sqref="B2"/>
    </sheetView>
  </sheetViews>
  <sheetFormatPr defaultColWidth="9" defaultRowHeight="14.4"/>
  <sheetData>
    <row r="1" spans="2:2">
      <c r="B1" t="s">
        <v>212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D14"/>
  <sheetViews>
    <sheetView workbookViewId="0">
      <selection activeCell="B5" sqref="B5"/>
    </sheetView>
  </sheetViews>
  <sheetFormatPr defaultColWidth="9" defaultRowHeight="14.4"/>
  <cols>
    <col min="1" max="1" width="17.88671875" customWidth="1"/>
    <col min="2" max="2" width="18" customWidth="1"/>
  </cols>
  <sheetData>
    <row r="1" spans="1:4" ht="20.399999999999999">
      <c r="A1" s="152" t="s">
        <v>213</v>
      </c>
      <c r="B1" s="152"/>
      <c r="C1" s="152"/>
      <c r="D1" s="152"/>
    </row>
    <row r="2" spans="1:4">
      <c r="A2" s="46" t="s">
        <v>214</v>
      </c>
      <c r="B2" s="46" t="s">
        <v>215</v>
      </c>
    </row>
    <row r="3" spans="1:4">
      <c r="A3" s="9" t="s">
        <v>216</v>
      </c>
      <c r="B3" s="9" t="str">
        <f>REPLACE(A3,1,4,"Kane")</f>
        <v>Kane Smith</v>
      </c>
    </row>
    <row r="4" spans="1:4">
      <c r="A4" s="9" t="s">
        <v>217</v>
      </c>
      <c r="B4" s="9" t="str">
        <f>REPLACE(A4,1,3,"Mohan")</f>
        <v>Mohan Roland</v>
      </c>
    </row>
    <row r="5" spans="1:4">
      <c r="A5" s="9" t="s">
        <v>218</v>
      </c>
      <c r="B5" s="9"/>
    </row>
    <row r="6" spans="1:4">
      <c r="A6" s="9" t="s">
        <v>219</v>
      </c>
      <c r="B6" s="9"/>
    </row>
    <row r="7" spans="1:4">
      <c r="A7" s="9" t="s">
        <v>220</v>
      </c>
      <c r="B7" s="9"/>
    </row>
    <row r="8" spans="1:4">
      <c r="A8" s="9" t="s">
        <v>221</v>
      </c>
      <c r="B8" s="9"/>
    </row>
    <row r="9" spans="1:4">
      <c r="A9" s="9" t="s">
        <v>222</v>
      </c>
      <c r="B9" s="9"/>
    </row>
    <row r="10" spans="1:4">
      <c r="A10" s="9" t="s">
        <v>223</v>
      </c>
      <c r="B10" s="9"/>
    </row>
    <row r="11" spans="1:4">
      <c r="A11" s="9" t="s">
        <v>224</v>
      </c>
      <c r="B11" s="9"/>
    </row>
    <row r="12" spans="1:4">
      <c r="A12" s="9" t="s">
        <v>225</v>
      </c>
      <c r="B12" s="9"/>
    </row>
    <row r="13" spans="1:4">
      <c r="A13" s="9" t="s">
        <v>226</v>
      </c>
      <c r="B13" s="9"/>
    </row>
    <row r="14" spans="1:4">
      <c r="A14" s="9" t="s">
        <v>227</v>
      </c>
      <c r="B14" s="9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B1:L10"/>
  <sheetViews>
    <sheetView topLeftCell="B1" zoomScale="190" zoomScaleNormal="190" workbookViewId="0">
      <selection activeCell="L4" sqref="L4"/>
    </sheetView>
  </sheetViews>
  <sheetFormatPr defaultColWidth="9" defaultRowHeight="14.4"/>
  <cols>
    <col min="5" max="5" width="11.77734375" customWidth="1"/>
    <col min="7" max="7" width="10.77734375" customWidth="1"/>
    <col min="11" max="11" width="11.44140625" customWidth="1"/>
  </cols>
  <sheetData>
    <row r="1" spans="2:12">
      <c r="B1">
        <v>1</v>
      </c>
      <c r="D1" s="6" t="s">
        <v>228</v>
      </c>
      <c r="E1" s="6" t="s">
        <v>229</v>
      </c>
      <c r="F1" s="6" t="s">
        <v>230</v>
      </c>
      <c r="G1" s="6" t="s">
        <v>231</v>
      </c>
      <c r="H1" s="6" t="s">
        <v>232</v>
      </c>
      <c r="I1" s="6" t="s">
        <v>233</v>
      </c>
      <c r="J1" s="6" t="s">
        <v>234</v>
      </c>
      <c r="K1" s="6" t="s">
        <v>235</v>
      </c>
      <c r="L1" s="6" t="s">
        <v>236</v>
      </c>
    </row>
    <row r="2" spans="2:12">
      <c r="B2">
        <v>2</v>
      </c>
    </row>
    <row r="3" spans="2:12">
      <c r="B3">
        <v>3</v>
      </c>
    </row>
    <row r="4" spans="2:12">
      <c r="B4">
        <v>4</v>
      </c>
    </row>
    <row r="5" spans="2:12">
      <c r="B5">
        <v>5</v>
      </c>
    </row>
    <row r="6" spans="2:12">
      <c r="B6">
        <v>6</v>
      </c>
    </row>
    <row r="7" spans="2:12">
      <c r="B7">
        <v>7</v>
      </c>
    </row>
    <row r="8" spans="2:12">
      <c r="B8">
        <v>8</v>
      </c>
    </row>
    <row r="9" spans="2:12">
      <c r="B9">
        <v>9</v>
      </c>
    </row>
    <row r="10" spans="2:12">
      <c r="B10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1"/>
  <sheetViews>
    <sheetView topLeftCell="C1" zoomScale="130" zoomScaleNormal="130" workbookViewId="0">
      <selection activeCell="N6" sqref="N6"/>
    </sheetView>
  </sheetViews>
  <sheetFormatPr defaultColWidth="9" defaultRowHeight="14.4"/>
  <cols>
    <col min="3" max="3" width="11.77734375" customWidth="1"/>
  </cols>
  <sheetData>
    <row r="1" spans="1:13">
      <c r="A1" s="72" t="s">
        <v>4</v>
      </c>
      <c r="B1" s="72" t="s">
        <v>237</v>
      </c>
      <c r="C1" s="73" t="s">
        <v>238</v>
      </c>
      <c r="E1" s="59" t="s">
        <v>237</v>
      </c>
      <c r="F1" s="74" t="s">
        <v>238</v>
      </c>
      <c r="H1" s="75" t="s">
        <v>239</v>
      </c>
      <c r="I1" s="75" t="s">
        <v>240</v>
      </c>
      <c r="J1" s="75" t="s">
        <v>241</v>
      </c>
      <c r="K1" s="75" t="s">
        <v>242</v>
      </c>
    </row>
    <row r="2" spans="1:13">
      <c r="A2" s="9" t="s">
        <v>243</v>
      </c>
      <c r="B2" s="9">
        <v>1</v>
      </c>
      <c r="C2" s="9" t="str" cm="1">
        <f t="array" ref="C2">_xlfn.SWITCH(B2,1,"Excellent",2,"Good",3,"Poor")</f>
        <v>Excellent</v>
      </c>
      <c r="E2" s="9">
        <v>1</v>
      </c>
      <c r="F2" s="9" t="s">
        <v>244</v>
      </c>
      <c r="H2" s="9">
        <v>1</v>
      </c>
      <c r="I2" s="9" t="s">
        <v>245</v>
      </c>
      <c r="J2" s="9" t="s">
        <v>87</v>
      </c>
      <c r="K2" s="9" t="str" cm="1">
        <f t="array" ref="K2">_xlfn.SWITCH(I2,"S","Small","M","Medium","L","Large")</f>
        <v>Small</v>
      </c>
      <c r="L2" t="e" cm="1">
        <f t="array" ref="L2">_xlfn.SWITCH(I2,S,"Small",M,"Medium",L,"Large")</f>
        <v>#NAME?</v>
      </c>
      <c r="M2" t="str" cm="1">
        <f t="array" ref="M2">_xlfn.SWITCH(I2,"S","Small","M","      ","L","Large")</f>
        <v>Small</v>
      </c>
    </row>
    <row r="3" spans="1:13">
      <c r="A3" s="9" t="s">
        <v>84</v>
      </c>
      <c r="B3" s="9">
        <v>2</v>
      </c>
      <c r="C3" s="9" t="str" cm="1">
        <f t="array" ref="C3">_xlfn.SWITCH(B3,1,"Excellent",2,"Good",3,"Poor")</f>
        <v>Good</v>
      </c>
      <c r="E3" s="9">
        <v>2</v>
      </c>
      <c r="F3" s="9" t="s">
        <v>246</v>
      </c>
      <c r="H3" s="9">
        <v>2</v>
      </c>
      <c r="I3" s="9" t="s">
        <v>247</v>
      </c>
      <c r="J3" s="9" t="s">
        <v>248</v>
      </c>
      <c r="K3" s="9" t="str" cm="1">
        <f t="array" ref="K3">_xlfn.SWITCH(I3,"S","Small","M","Medium","L","Large")</f>
        <v>Medium</v>
      </c>
    </row>
    <row r="4" spans="1:13">
      <c r="A4" s="9" t="s">
        <v>249</v>
      </c>
      <c r="B4" s="9">
        <v>1</v>
      </c>
      <c r="C4" s="9" t="str" cm="1">
        <f t="array" ref="C4">_xlfn.SWITCH(B4,1,"Excellent",2,"Good",3,"Poor")</f>
        <v>Excellent</v>
      </c>
      <c r="E4" s="9">
        <v>3</v>
      </c>
      <c r="F4" s="9" t="s">
        <v>250</v>
      </c>
      <c r="H4" s="9">
        <v>3</v>
      </c>
      <c r="I4" s="9" t="s">
        <v>251</v>
      </c>
      <c r="J4" s="9" t="s">
        <v>252</v>
      </c>
      <c r="K4" s="9"/>
    </row>
    <row r="5" spans="1:13">
      <c r="A5" s="9" t="s">
        <v>253</v>
      </c>
      <c r="B5" s="9">
        <v>2</v>
      </c>
      <c r="C5" s="9" t="str" cm="1">
        <f t="array" ref="C5">_xlfn.SWITCH(B5,1,"Excellent",2,"Good",3,"Poor")</f>
        <v>Good</v>
      </c>
      <c r="H5" s="9">
        <v>4</v>
      </c>
      <c r="I5" s="9" t="s">
        <v>245</v>
      </c>
      <c r="J5" s="9" t="s">
        <v>254</v>
      </c>
      <c r="K5" s="9"/>
    </row>
    <row r="6" spans="1:13">
      <c r="A6" s="9" t="s">
        <v>255</v>
      </c>
      <c r="B6" s="9">
        <v>3</v>
      </c>
      <c r="C6" s="9" t="str" cm="1">
        <f t="array" ref="C6">_xlfn.SWITCH(B6,1,"Excellent",2,"Good",3,"Poor")</f>
        <v>Poor</v>
      </c>
      <c r="H6" s="9">
        <v>5</v>
      </c>
      <c r="I6" s="9" t="s">
        <v>247</v>
      </c>
      <c r="J6" s="9" t="s">
        <v>256</v>
      </c>
      <c r="K6" s="9"/>
    </row>
    <row r="7" spans="1:13">
      <c r="A7" s="9" t="s">
        <v>257</v>
      </c>
      <c r="B7" s="9">
        <v>2</v>
      </c>
      <c r="C7" s="9" t="str" cm="1">
        <f t="array" ref="C7">_xlfn.SWITCH(B7,1,"Excellent",2,"Good",3,"Poor")</f>
        <v>Good</v>
      </c>
      <c r="H7" s="9">
        <v>6</v>
      </c>
      <c r="I7" s="9" t="s">
        <v>251</v>
      </c>
      <c r="J7" s="9" t="s">
        <v>258</v>
      </c>
      <c r="K7" s="9"/>
    </row>
    <row r="8" spans="1:13">
      <c r="H8" s="9">
        <v>7</v>
      </c>
      <c r="I8" s="9" t="s">
        <v>251</v>
      </c>
      <c r="J8" s="9" t="s">
        <v>89</v>
      </c>
      <c r="K8" s="9"/>
    </row>
    <row r="9" spans="1:13">
      <c r="H9" s="9">
        <v>8</v>
      </c>
      <c r="I9" s="9" t="s">
        <v>245</v>
      </c>
      <c r="J9" s="9" t="s">
        <v>85</v>
      </c>
      <c r="K9" s="9"/>
    </row>
    <row r="10" spans="1:13">
      <c r="H10" s="9">
        <v>9</v>
      </c>
      <c r="I10" s="9" t="s">
        <v>247</v>
      </c>
      <c r="J10" s="9" t="s">
        <v>252</v>
      </c>
      <c r="K10" s="9"/>
    </row>
    <row r="11" spans="1:13">
      <c r="H11" s="9">
        <v>10</v>
      </c>
      <c r="I11" s="9" t="s">
        <v>251</v>
      </c>
      <c r="J11" s="9" t="s">
        <v>254</v>
      </c>
      <c r="K11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1:H2"/>
  <sheetViews>
    <sheetView topLeftCell="A13" workbookViewId="0">
      <selection activeCell="D16" sqref="D16"/>
    </sheetView>
  </sheetViews>
  <sheetFormatPr defaultColWidth="9" defaultRowHeight="14.4"/>
  <cols>
    <col min="4" max="4" width="19.77734375" customWidth="1"/>
    <col min="5" max="5" width="11.6640625" customWidth="1"/>
    <col min="6" max="6" width="15.21875" customWidth="1"/>
    <col min="7" max="7" width="17.44140625" customWidth="1"/>
  </cols>
  <sheetData>
    <row r="1" spans="3:8">
      <c r="C1" s="141" t="s">
        <v>259</v>
      </c>
      <c r="D1" s="141"/>
      <c r="E1" s="141"/>
      <c r="F1" s="141"/>
      <c r="G1" s="141"/>
      <c r="H1" s="141"/>
    </row>
    <row r="2" spans="3:8">
      <c r="C2" s="141"/>
      <c r="D2" s="141"/>
      <c r="E2" s="141"/>
      <c r="F2" s="141"/>
      <c r="G2" s="141"/>
      <c r="H2" s="141"/>
    </row>
  </sheetData>
  <mergeCells count="1">
    <mergeCell ref="C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I17"/>
  <sheetViews>
    <sheetView workbookViewId="0">
      <selection activeCell="L10" sqref="L10"/>
    </sheetView>
  </sheetViews>
  <sheetFormatPr defaultColWidth="9" defaultRowHeight="14.4"/>
  <sheetData>
    <row r="1" spans="3:9">
      <c r="C1" s="153" t="s">
        <v>260</v>
      </c>
      <c r="D1" s="153"/>
      <c r="E1" s="153"/>
    </row>
    <row r="3" spans="3:9">
      <c r="C3" s="70" t="s">
        <v>4</v>
      </c>
      <c r="D3" s="70" t="s">
        <v>261</v>
      </c>
      <c r="E3" s="70" t="s">
        <v>262</v>
      </c>
    </row>
    <row r="4" spans="3:9">
      <c r="C4" s="49" t="s">
        <v>92</v>
      </c>
      <c r="D4" s="42">
        <v>23</v>
      </c>
      <c r="E4" s="42">
        <v>34335</v>
      </c>
    </row>
    <row r="5" spans="3:9">
      <c r="C5" s="49" t="s">
        <v>263</v>
      </c>
      <c r="D5" s="42">
        <v>34</v>
      </c>
      <c r="E5" s="42">
        <v>45666</v>
      </c>
      <c r="G5" s="154" t="s">
        <v>264</v>
      </c>
      <c r="H5" s="155"/>
    </row>
    <row r="6" spans="3:9">
      <c r="C6" s="49" t="s">
        <v>265</v>
      </c>
      <c r="D6" s="42">
        <v>56</v>
      </c>
      <c r="E6" s="42">
        <v>77777</v>
      </c>
      <c r="G6" s="141">
        <v>10</v>
      </c>
      <c r="H6" s="141"/>
    </row>
    <row r="7" spans="3:9">
      <c r="C7" s="49" t="s">
        <v>266</v>
      </c>
      <c r="D7" s="42">
        <v>34</v>
      </c>
      <c r="E7" s="42">
        <v>99999</v>
      </c>
      <c r="G7" s="71" t="s">
        <v>4</v>
      </c>
      <c r="H7" s="71" t="s">
        <v>261</v>
      </c>
      <c r="I7" s="71" t="s">
        <v>262</v>
      </c>
    </row>
    <row r="8" spans="3:9">
      <c r="C8" s="49" t="s">
        <v>267</v>
      </c>
      <c r="D8" s="42">
        <v>23</v>
      </c>
      <c r="E8" s="42">
        <v>12000</v>
      </c>
      <c r="G8" t="str" cm="1">
        <f t="array" ref="G8:I17">_xlfn.DROP(C4:E14,ROWS(C4:E14)-G6)</f>
        <v>Deepak</v>
      </c>
      <c r="H8">
        <v>34</v>
      </c>
      <c r="I8">
        <v>45666</v>
      </c>
    </row>
    <row r="9" spans="3:9">
      <c r="C9" s="49" t="s">
        <v>268</v>
      </c>
      <c r="D9" s="42">
        <v>56</v>
      </c>
      <c r="E9" s="42">
        <v>14000</v>
      </c>
      <c r="G9" t="str">
        <v>Manoj</v>
      </c>
      <c r="H9">
        <v>56</v>
      </c>
      <c r="I9">
        <v>77777</v>
      </c>
    </row>
    <row r="10" spans="3:9">
      <c r="C10" s="49" t="s">
        <v>269</v>
      </c>
      <c r="D10" s="42">
        <v>24</v>
      </c>
      <c r="E10" s="42">
        <v>56000</v>
      </c>
      <c r="G10" t="str">
        <v>Nidhi</v>
      </c>
      <c r="H10">
        <v>34</v>
      </c>
      <c r="I10">
        <v>99999</v>
      </c>
    </row>
    <row r="11" spans="3:9">
      <c r="C11" s="49" t="s">
        <v>209</v>
      </c>
      <c r="D11" s="42">
        <v>34</v>
      </c>
      <c r="E11" s="42">
        <v>54000</v>
      </c>
      <c r="G11" t="str">
        <v>Kavita</v>
      </c>
      <c r="H11">
        <v>23</v>
      </c>
      <c r="I11">
        <v>12000</v>
      </c>
    </row>
    <row r="12" spans="3:9">
      <c r="C12" s="49" t="s">
        <v>270</v>
      </c>
      <c r="D12" s="42">
        <v>33</v>
      </c>
      <c r="E12" s="42">
        <v>58000</v>
      </c>
      <c r="G12" t="str">
        <v>Satyam</v>
      </c>
      <c r="H12">
        <v>56</v>
      </c>
      <c r="I12">
        <v>14000</v>
      </c>
    </row>
    <row r="13" spans="3:9">
      <c r="C13" s="49" t="s">
        <v>271</v>
      </c>
      <c r="D13" s="42">
        <v>32</v>
      </c>
      <c r="E13" s="42">
        <v>61000</v>
      </c>
      <c r="G13" t="str">
        <v>Nivan</v>
      </c>
      <c r="H13">
        <v>24</v>
      </c>
      <c r="I13">
        <v>56000</v>
      </c>
    </row>
    <row r="14" spans="3:9">
      <c r="C14" s="49" t="s">
        <v>272</v>
      </c>
      <c r="D14" s="42">
        <v>30</v>
      </c>
      <c r="E14" s="42">
        <v>72000</v>
      </c>
      <c r="G14" t="str">
        <v>Rahul</v>
      </c>
      <c r="H14">
        <v>34</v>
      </c>
      <c r="I14">
        <v>54000</v>
      </c>
    </row>
    <row r="15" spans="3:9">
      <c r="G15" t="str">
        <v>Aniket</v>
      </c>
      <c r="H15">
        <v>33</v>
      </c>
      <c r="I15">
        <v>58000</v>
      </c>
    </row>
    <row r="16" spans="3:9">
      <c r="G16" t="str">
        <v>Purvi</v>
      </c>
      <c r="H16">
        <v>32</v>
      </c>
      <c r="I16">
        <v>61000</v>
      </c>
    </row>
    <row r="17" spans="7:9">
      <c r="G17" t="str">
        <v>Nisha</v>
      </c>
      <c r="H17">
        <v>30</v>
      </c>
      <c r="I17">
        <v>72000</v>
      </c>
    </row>
  </sheetData>
  <mergeCells count="3">
    <mergeCell ref="C1:E1"/>
    <mergeCell ref="G5:H5"/>
    <mergeCell ref="G6:H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7"/>
  <sheetViews>
    <sheetView workbookViewId="0">
      <selection activeCell="H12" sqref="H12"/>
    </sheetView>
  </sheetViews>
  <sheetFormatPr defaultColWidth="9" defaultRowHeight="14.4"/>
  <cols>
    <col min="1" max="1" width="11.44140625" customWidth="1"/>
    <col min="2" max="2" width="10.6640625" customWidth="1"/>
    <col min="3" max="3" width="19.6640625" customWidth="1"/>
  </cols>
  <sheetData>
    <row r="1" spans="1:5">
      <c r="A1" s="69" t="s">
        <v>273</v>
      </c>
      <c r="B1" s="69" t="s">
        <v>4</v>
      </c>
      <c r="C1" s="69" t="s">
        <v>274</v>
      </c>
    </row>
    <row r="2" spans="1:5">
      <c r="A2" s="42">
        <v>1</v>
      </c>
      <c r="B2" s="42" t="s">
        <v>275</v>
      </c>
      <c r="C2" s="42">
        <v>9663204561</v>
      </c>
    </row>
    <row r="3" spans="1:5">
      <c r="A3" s="42">
        <v>2</v>
      </c>
      <c r="B3" s="42" t="s">
        <v>276</v>
      </c>
      <c r="C3" s="42">
        <v>9230041520</v>
      </c>
    </row>
    <row r="4" spans="1:5">
      <c r="A4" s="42">
        <v>3</v>
      </c>
      <c r="B4" s="42" t="s">
        <v>277</v>
      </c>
      <c r="C4" s="42">
        <v>9325456669</v>
      </c>
    </row>
    <row r="5" spans="1:5">
      <c r="A5" s="42">
        <v>4</v>
      </c>
      <c r="B5" s="42" t="s">
        <v>109</v>
      </c>
      <c r="C5" s="42">
        <v>8240005621</v>
      </c>
    </row>
    <row r="6" spans="1:5">
      <c r="A6" s="42">
        <v>5</v>
      </c>
      <c r="B6" s="42" t="s">
        <v>17</v>
      </c>
      <c r="C6" s="42">
        <v>8369502314</v>
      </c>
    </row>
    <row r="7" spans="1:5">
      <c r="A7" s="42">
        <v>6</v>
      </c>
      <c r="B7" s="42" t="s">
        <v>278</v>
      </c>
      <c r="C7" s="42">
        <v>8274120003</v>
      </c>
    </row>
    <row r="8" spans="1:5">
      <c r="A8" s="42">
        <v>7</v>
      </c>
      <c r="B8" s="42" t="s">
        <v>279</v>
      </c>
      <c r="C8" s="42">
        <v>9645648820</v>
      </c>
    </row>
    <row r="9" spans="1:5">
      <c r="A9" s="42">
        <v>8</v>
      </c>
      <c r="B9" s="42" t="s">
        <v>280</v>
      </c>
      <c r="C9" s="42">
        <v>9145023600</v>
      </c>
    </row>
    <row r="10" spans="1:5">
      <c r="A10" s="42">
        <v>9</v>
      </c>
      <c r="B10" s="42" t="s">
        <v>281</v>
      </c>
      <c r="C10" s="42">
        <v>9236004150</v>
      </c>
    </row>
    <row r="11" spans="1:5">
      <c r="A11" s="42">
        <v>10</v>
      </c>
      <c r="B11" s="42" t="s">
        <v>282</v>
      </c>
      <c r="C11" s="42">
        <v>9836362100</v>
      </c>
    </row>
    <row r="13" spans="1:5">
      <c r="A13" t="str" cm="1">
        <f t="array" ref="A13:E27">_xlfn.EXPAND(A1:C11,15,5,"0")</f>
        <v>Roll No</v>
      </c>
      <c r="B13" t="str">
        <v>Name</v>
      </c>
      <c r="C13" t="str">
        <v>Mobile No.</v>
      </c>
      <c r="D13" t="str">
        <v>0</v>
      </c>
      <c r="E13" t="str">
        <v>0</v>
      </c>
    </row>
    <row r="14" spans="1:5">
      <c r="A14">
        <v>1</v>
      </c>
      <c r="B14" t="str">
        <v>Shruti</v>
      </c>
      <c r="C14">
        <v>9663204561</v>
      </c>
      <c r="D14" t="str">
        <v>0</v>
      </c>
      <c r="E14" t="str">
        <v>0</v>
      </c>
    </row>
    <row r="15" spans="1:5">
      <c r="A15">
        <v>2</v>
      </c>
      <c r="B15" t="str">
        <v>Kamal</v>
      </c>
      <c r="C15">
        <v>9230041520</v>
      </c>
      <c r="D15" t="str">
        <v>0</v>
      </c>
      <c r="E15" t="str">
        <v>0</v>
      </c>
    </row>
    <row r="16" spans="1:5">
      <c r="A16">
        <v>3</v>
      </c>
      <c r="B16" t="str">
        <v>Jatin</v>
      </c>
      <c r="C16">
        <v>9325456669</v>
      </c>
      <c r="D16" t="str">
        <v>0</v>
      </c>
      <c r="E16" t="str">
        <v>0</v>
      </c>
    </row>
    <row r="17" spans="1:5">
      <c r="A17">
        <v>4</v>
      </c>
      <c r="B17" t="str">
        <v>Aman</v>
      </c>
      <c r="C17">
        <v>8240005621</v>
      </c>
      <c r="D17" t="str">
        <v>0</v>
      </c>
      <c r="E17" t="str">
        <v>0</v>
      </c>
    </row>
    <row r="18" spans="1:5">
      <c r="A18">
        <v>5</v>
      </c>
      <c r="B18" t="str">
        <v>Karan</v>
      </c>
      <c r="C18">
        <v>8369502314</v>
      </c>
      <c r="D18" t="str">
        <v>0</v>
      </c>
      <c r="E18" t="str">
        <v>0</v>
      </c>
    </row>
    <row r="19" spans="1:5">
      <c r="A19">
        <v>6</v>
      </c>
      <c r="B19" t="str">
        <v>Karishma</v>
      </c>
      <c r="C19">
        <v>8274120003</v>
      </c>
      <c r="D19" t="str">
        <v>0</v>
      </c>
      <c r="E19" t="str">
        <v>0</v>
      </c>
    </row>
    <row r="20" spans="1:5">
      <c r="A20">
        <v>7</v>
      </c>
      <c r="B20" t="str">
        <v>Priya</v>
      </c>
      <c r="C20">
        <v>9645648820</v>
      </c>
      <c r="D20" t="str">
        <v>0</v>
      </c>
      <c r="E20" t="str">
        <v>0</v>
      </c>
    </row>
    <row r="21" spans="1:5">
      <c r="A21">
        <v>8</v>
      </c>
      <c r="B21" t="str">
        <v>Sujaan</v>
      </c>
      <c r="C21">
        <v>9145023600</v>
      </c>
      <c r="D21" t="str">
        <v>0</v>
      </c>
      <c r="E21" t="str">
        <v>0</v>
      </c>
    </row>
    <row r="22" spans="1:5">
      <c r="A22">
        <v>9</v>
      </c>
      <c r="B22" t="str">
        <v>Harshita</v>
      </c>
      <c r="C22">
        <v>9236004150</v>
      </c>
      <c r="D22" t="str">
        <v>0</v>
      </c>
      <c r="E22" t="str">
        <v>0</v>
      </c>
    </row>
    <row r="23" spans="1:5">
      <c r="A23">
        <v>10</v>
      </c>
      <c r="B23" t="str">
        <v>Kimmi</v>
      </c>
      <c r="C23">
        <v>9836362100</v>
      </c>
      <c r="D23" t="str">
        <v>0</v>
      </c>
      <c r="E23" t="str">
        <v>0</v>
      </c>
    </row>
    <row r="24" spans="1:5">
      <c r="A24" t="str">
        <v>0</v>
      </c>
      <c r="B24" t="str">
        <v>0</v>
      </c>
      <c r="C24" t="str">
        <v>0</v>
      </c>
      <c r="D24" t="str">
        <v>0</v>
      </c>
      <c r="E24" t="str">
        <v>0</v>
      </c>
    </row>
    <row r="25" spans="1:5">
      <c r="A25" t="str">
        <v>0</v>
      </c>
      <c r="B25" t="str">
        <v>0</v>
      </c>
      <c r="C25" t="str">
        <v>0</v>
      </c>
      <c r="D25" t="str">
        <v>0</v>
      </c>
      <c r="E25" t="str">
        <v>0</v>
      </c>
    </row>
    <row r="26" spans="1:5">
      <c r="A26" t="str">
        <v>0</v>
      </c>
      <c r="B26" t="str">
        <v>0</v>
      </c>
      <c r="C26" t="str">
        <v>0</v>
      </c>
      <c r="D26" t="str">
        <v>0</v>
      </c>
      <c r="E26" t="str">
        <v>0</v>
      </c>
    </row>
    <row r="27" spans="1:5">
      <c r="A27" t="str">
        <v>0</v>
      </c>
      <c r="B27" t="str">
        <v>0</v>
      </c>
      <c r="C27" t="str">
        <v>0</v>
      </c>
      <c r="D27" t="str">
        <v>0</v>
      </c>
      <c r="E27" t="str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9"/>
  <sheetViews>
    <sheetView workbookViewId="0">
      <selection activeCell="H85" sqref="H85"/>
    </sheetView>
  </sheetViews>
  <sheetFormatPr defaultColWidth="9" defaultRowHeight="14.4"/>
  <cols>
    <col min="1" max="1" width="13.109375" customWidth="1"/>
    <col min="2" max="2" width="15.6640625" customWidth="1"/>
    <col min="3" max="3" width="16.21875" customWidth="1"/>
    <col min="4" max="4" width="17.77734375" customWidth="1"/>
    <col min="5" max="5" width="19.6640625" customWidth="1"/>
  </cols>
  <sheetData>
    <row r="1" spans="1:8">
      <c r="A1" s="156" t="s">
        <v>283</v>
      </c>
      <c r="B1" s="156"/>
      <c r="C1" s="156"/>
      <c r="D1" s="156"/>
      <c r="E1" s="156"/>
    </row>
    <row r="2" spans="1:8">
      <c r="A2" s="156"/>
      <c r="B2" s="156"/>
      <c r="C2" s="156"/>
      <c r="D2" s="156"/>
      <c r="E2" s="156"/>
    </row>
    <row r="3" spans="1:8">
      <c r="A3" s="68" t="s">
        <v>284</v>
      </c>
      <c r="B3" s="68" t="s">
        <v>285</v>
      </c>
      <c r="C3" s="68" t="s">
        <v>286</v>
      </c>
      <c r="D3" s="68" t="s">
        <v>287</v>
      </c>
      <c r="E3" s="9"/>
    </row>
    <row r="4" spans="1:8">
      <c r="A4" s="46" t="s">
        <v>288</v>
      </c>
      <c r="B4" s="46" t="s">
        <v>252</v>
      </c>
      <c r="C4" s="46">
        <v>10</v>
      </c>
      <c r="D4" s="46">
        <v>17</v>
      </c>
      <c r="E4" s="9"/>
      <c r="H4" s="6" t="s">
        <v>289</v>
      </c>
    </row>
    <row r="5" spans="1:8">
      <c r="A5" s="46" t="s">
        <v>290</v>
      </c>
      <c r="B5" s="46" t="s">
        <v>85</v>
      </c>
      <c r="C5" s="46">
        <v>5</v>
      </c>
      <c r="D5" s="46">
        <v>23</v>
      </c>
      <c r="E5" s="9"/>
      <c r="H5" s="6" t="s">
        <v>291</v>
      </c>
    </row>
    <row r="6" spans="1:8">
      <c r="A6" s="46" t="s">
        <v>292</v>
      </c>
      <c r="B6" s="46" t="s">
        <v>89</v>
      </c>
      <c r="C6" s="46">
        <v>20</v>
      </c>
      <c r="D6" s="46">
        <v>16</v>
      </c>
      <c r="E6" s="9"/>
    </row>
    <row r="7" spans="1:8">
      <c r="A7" s="46" t="s">
        <v>293</v>
      </c>
      <c r="B7" s="46" t="s">
        <v>294</v>
      </c>
      <c r="C7" s="46">
        <v>30</v>
      </c>
      <c r="D7" s="46">
        <v>21</v>
      </c>
      <c r="E7" s="9"/>
    </row>
    <row r="8" spans="1:8">
      <c r="A8" s="46" t="s">
        <v>295</v>
      </c>
      <c r="B8" s="46" t="s">
        <v>296</v>
      </c>
      <c r="C8" s="46">
        <v>25</v>
      </c>
      <c r="D8" s="46">
        <v>11</v>
      </c>
      <c r="E8" s="9"/>
    </row>
    <row r="9" spans="1:8" ht="22.2">
      <c r="A9" s="46" t="s">
        <v>297</v>
      </c>
      <c r="B9" s="46" t="s">
        <v>298</v>
      </c>
      <c r="C9" s="46">
        <v>63</v>
      </c>
      <c r="D9" s="46">
        <v>16</v>
      </c>
      <c r="E9" s="9"/>
      <c r="H9" s="14" t="s">
        <v>299</v>
      </c>
    </row>
    <row r="10" spans="1:8">
      <c r="A10" s="46" t="s">
        <v>300</v>
      </c>
      <c r="B10" s="46" t="s">
        <v>301</v>
      </c>
      <c r="C10" s="46">
        <v>98</v>
      </c>
      <c r="D10" s="46">
        <v>16</v>
      </c>
      <c r="E10" s="9"/>
    </row>
    <row r="11" spans="1:8">
      <c r="A11" s="46" t="s">
        <v>302</v>
      </c>
      <c r="B11" s="46" t="s">
        <v>303</v>
      </c>
      <c r="C11" s="46">
        <v>25</v>
      </c>
      <c r="D11" s="46">
        <v>14</v>
      </c>
      <c r="E11" s="9"/>
      <c r="H11" s="19" t="s">
        <v>304</v>
      </c>
    </row>
    <row r="12" spans="1:8">
      <c r="A12" s="46" t="s">
        <v>305</v>
      </c>
      <c r="B12" s="46" t="s">
        <v>306</v>
      </c>
      <c r="C12" s="46">
        <v>92</v>
      </c>
      <c r="D12" s="46">
        <v>12</v>
      </c>
      <c r="E12" s="9"/>
    </row>
    <row r="13" spans="1:8">
      <c r="A13" s="46" t="s">
        <v>307</v>
      </c>
      <c r="B13" s="46" t="s">
        <v>308</v>
      </c>
      <c r="C13" s="46">
        <v>12</v>
      </c>
      <c r="D13" s="46">
        <v>24</v>
      </c>
      <c r="E13" s="9"/>
      <c r="H13" s="10" t="s">
        <v>309</v>
      </c>
    </row>
    <row r="14" spans="1:8">
      <c r="A14" s="46" t="s">
        <v>310</v>
      </c>
      <c r="B14" s="46" t="s">
        <v>311</v>
      </c>
      <c r="C14" s="46">
        <v>14</v>
      </c>
      <c r="D14" s="46">
        <v>13</v>
      </c>
      <c r="E14" s="9"/>
      <c r="H14" s="15"/>
    </row>
    <row r="15" spans="1:8">
      <c r="A15" s="46" t="s">
        <v>312</v>
      </c>
      <c r="B15" s="46" t="s">
        <v>313</v>
      </c>
      <c r="C15" s="46">
        <v>63</v>
      </c>
      <c r="D15" s="46">
        <v>22</v>
      </c>
      <c r="E15" s="9"/>
      <c r="H15" s="16" t="s">
        <v>314</v>
      </c>
    </row>
    <row r="16" spans="1:8">
      <c r="H16" s="15"/>
    </row>
    <row r="17" spans="1:8">
      <c r="H17" s="16" t="s">
        <v>315</v>
      </c>
    </row>
    <row r="18" spans="1:8">
      <c r="A18" s="68" t="s">
        <v>284</v>
      </c>
      <c r="B18" s="68" t="s">
        <v>285</v>
      </c>
      <c r="C18" s="68" t="s">
        <v>286</v>
      </c>
      <c r="D18" s="68" t="s">
        <v>287</v>
      </c>
      <c r="H18" s="15"/>
    </row>
    <row r="19" spans="1:8">
      <c r="A19" s="6" t="s">
        <v>292</v>
      </c>
      <c r="B19" t="str" cm="1">
        <f t="array" aca="1" ref="B19:D19" ca="1">OFFSET(A3,3,1,1,3)</f>
        <v>Green</v>
      </c>
      <c r="C19">
        <f ca="1"/>
        <v>20</v>
      </c>
      <c r="D19">
        <f ca="1"/>
        <v>16</v>
      </c>
      <c r="H19" s="16" t="s">
        <v>316</v>
      </c>
    </row>
    <row r="20" spans="1:8">
      <c r="H20" s="15"/>
    </row>
    <row r="21" spans="1:8">
      <c r="H21" s="16" t="s">
        <v>317</v>
      </c>
    </row>
    <row r="22" spans="1:8">
      <c r="H22" s="15"/>
    </row>
    <row r="23" spans="1:8">
      <c r="A23" s="69" t="s">
        <v>4</v>
      </c>
      <c r="B23" s="69" t="s">
        <v>318</v>
      </c>
      <c r="C23" s="69" t="s">
        <v>319</v>
      </c>
      <c r="D23" s="69" t="s">
        <v>320</v>
      </c>
      <c r="H23" s="16" t="s">
        <v>321</v>
      </c>
    </row>
    <row r="24" spans="1:8">
      <c r="A24" s="42" t="s">
        <v>322</v>
      </c>
      <c r="B24" s="42">
        <v>74</v>
      </c>
      <c r="C24" s="42">
        <v>32</v>
      </c>
      <c r="D24" s="42">
        <f>SUM(B24:C24)</f>
        <v>106</v>
      </c>
    </row>
    <row r="25" spans="1:8">
      <c r="A25" s="42" t="s">
        <v>323</v>
      </c>
      <c r="B25" s="42">
        <v>31</v>
      </c>
      <c r="C25" s="42">
        <v>56</v>
      </c>
      <c r="D25" s="42">
        <f t="shared" ref="D25:D29" si="0">SUM(B25:C25)</f>
        <v>87</v>
      </c>
    </row>
    <row r="26" spans="1:8">
      <c r="A26" s="42" t="s">
        <v>324</v>
      </c>
      <c r="B26" s="42">
        <v>90</v>
      </c>
      <c r="C26" s="42">
        <v>85</v>
      </c>
      <c r="D26" s="42">
        <f t="shared" si="0"/>
        <v>175</v>
      </c>
    </row>
    <row r="27" spans="1:8" ht="17.399999999999999" customHeight="1">
      <c r="A27" s="42" t="s">
        <v>325</v>
      </c>
      <c r="B27" s="42">
        <v>51</v>
      </c>
      <c r="C27" s="42">
        <v>58</v>
      </c>
      <c r="D27" s="42">
        <f t="shared" si="0"/>
        <v>109</v>
      </c>
      <c r="H27" s="14" t="s">
        <v>326</v>
      </c>
    </row>
    <row r="28" spans="1:8">
      <c r="A28" s="42" t="s">
        <v>327</v>
      </c>
      <c r="B28" s="42">
        <v>33</v>
      </c>
      <c r="C28" s="42">
        <v>35</v>
      </c>
      <c r="D28" s="42">
        <f t="shared" si="0"/>
        <v>68</v>
      </c>
      <c r="H28" s="15"/>
    </row>
    <row r="29" spans="1:8">
      <c r="A29" s="42" t="s">
        <v>328</v>
      </c>
      <c r="B29" s="42">
        <v>43</v>
      </c>
      <c r="C29" s="42">
        <v>70</v>
      </c>
      <c r="D29" s="42">
        <f t="shared" si="0"/>
        <v>113</v>
      </c>
      <c r="H29" s="16" t="s">
        <v>329</v>
      </c>
    </row>
    <row r="30" spans="1:8">
      <c r="H30" s="15"/>
    </row>
    <row r="31" spans="1:8">
      <c r="H31" s="17" t="s">
        <v>330</v>
      </c>
    </row>
    <row r="32" spans="1:8">
      <c r="C32" s="141" t="s">
        <v>319</v>
      </c>
      <c r="D32" s="141"/>
      <c r="H32" s="15"/>
    </row>
    <row r="33" spans="2:8">
      <c r="B33" t="s">
        <v>325</v>
      </c>
      <c r="C33" s="141" t="e" cm="1" vm="1">
        <f t="array" aca="1" ref="C33" ca="1">OFFSET($A$23,4,1,1,3)</f>
        <v>#VALUE!</v>
      </c>
      <c r="D33" s="141"/>
      <c r="H33" s="17" t="s">
        <v>331</v>
      </c>
    </row>
    <row r="34" spans="2:8">
      <c r="H34" s="15"/>
    </row>
    <row r="35" spans="2:8">
      <c r="H35" s="17" t="s">
        <v>332</v>
      </c>
    </row>
    <row r="36" spans="2:8">
      <c r="C36" t="s">
        <v>318</v>
      </c>
      <c r="D36" t="s">
        <v>319</v>
      </c>
      <c r="E36" t="s">
        <v>320</v>
      </c>
      <c r="H36" s="15"/>
    </row>
    <row r="37" spans="2:8">
      <c r="B37" t="s">
        <v>325</v>
      </c>
      <c r="C37" cm="1">
        <f t="array" aca="1" ref="C37:E37" ca="1">OFFSET($A$23,4,1,1,3)</f>
        <v>51</v>
      </c>
      <c r="D37">
        <f ca="1"/>
        <v>58</v>
      </c>
      <c r="E37">
        <f ca="1"/>
        <v>109</v>
      </c>
      <c r="H37" s="17" t="s">
        <v>333</v>
      </c>
    </row>
    <row r="38" spans="2:8">
      <c r="H38" s="15"/>
    </row>
    <row r="39" spans="2:8">
      <c r="H39" s="17" t="s">
        <v>334</v>
      </c>
    </row>
    <row r="40" spans="2:8">
      <c r="H40" s="15"/>
    </row>
    <row r="41" spans="2:8">
      <c r="H41" s="17" t="s">
        <v>335</v>
      </c>
    </row>
    <row r="45" spans="2:8" ht="22.2">
      <c r="H45" s="14" t="s">
        <v>336</v>
      </c>
    </row>
    <row r="47" spans="2:8" ht="17.399999999999999">
      <c r="H47" s="35" t="s">
        <v>337</v>
      </c>
    </row>
    <row r="49" spans="8:8">
      <c r="H49" s="19" t="str">
        <f ca="1">OFFSET(A1,2,3)</f>
        <v>Price</v>
      </c>
    </row>
    <row r="50" spans="8:8">
      <c r="H50" s="15"/>
    </row>
    <row r="51" spans="8:8">
      <c r="H51" s="17" t="s">
        <v>338</v>
      </c>
    </row>
    <row r="52" spans="8:8">
      <c r="H52" s="15"/>
    </row>
    <row r="53" spans="8:8">
      <c r="H53" s="17" t="s">
        <v>339</v>
      </c>
    </row>
    <row r="54" spans="8:8">
      <c r="H54" s="15"/>
    </row>
    <row r="55" spans="8:8">
      <c r="H55" s="17" t="s">
        <v>340</v>
      </c>
    </row>
    <row r="59" spans="8:8" ht="17.399999999999999">
      <c r="H59" s="35" t="s">
        <v>341</v>
      </c>
    </row>
    <row r="61" spans="8:8">
      <c r="H61" s="19" t="e" cm="1" vm="2">
        <f t="array" aca="1" ref="H61" ca="1">OFFSET(A1,1,1,3,2)</f>
        <v>#VALUE!</v>
      </c>
    </row>
    <row r="62" spans="8:8">
      <c r="H62" s="15"/>
    </row>
    <row r="63" spans="8:8">
      <c r="H63" s="17" t="s">
        <v>338</v>
      </c>
    </row>
    <row r="64" spans="8:8">
      <c r="H64" s="15"/>
    </row>
    <row r="65" spans="8:8">
      <c r="H65" s="17" t="s">
        <v>342</v>
      </c>
    </row>
    <row r="66" spans="8:8">
      <c r="H66" s="15"/>
    </row>
    <row r="67" spans="8:8">
      <c r="H67" s="17" t="s">
        <v>343</v>
      </c>
    </row>
    <row r="71" spans="8:8" ht="17.399999999999999">
      <c r="H71" s="35" t="s">
        <v>344</v>
      </c>
    </row>
    <row r="73" spans="8:8">
      <c r="H73" s="6" t="s">
        <v>345</v>
      </c>
    </row>
    <row r="75" spans="8:8">
      <c r="H75" s="19">
        <f ca="1">SUM(OFFSET(B2,COUNTA(B2:B10)-5,0,5,1))</f>
        <v>0</v>
      </c>
    </row>
    <row r="76" spans="8:8">
      <c r="H76" s="15"/>
    </row>
    <row r="77" spans="8:8">
      <c r="H77" s="17" t="s">
        <v>346</v>
      </c>
    </row>
    <row r="81" spans="8:8" ht="17.399999999999999">
      <c r="H81" s="35" t="s">
        <v>347</v>
      </c>
    </row>
    <row r="83" spans="8:8">
      <c r="H83" s="6" t="s">
        <v>348</v>
      </c>
    </row>
    <row r="85" spans="8:8">
      <c r="H85" s="19" t="e">
        <v>#VALUE!</v>
      </c>
    </row>
    <row r="86" spans="8:8">
      <c r="H86" s="15"/>
    </row>
    <row r="87" spans="8:8">
      <c r="H87" s="17" t="s">
        <v>349</v>
      </c>
    </row>
    <row r="91" spans="8:8" ht="22.2">
      <c r="H91" s="14" t="s">
        <v>350</v>
      </c>
    </row>
    <row r="92" spans="8:8">
      <c r="H92" s="15"/>
    </row>
    <row r="93" spans="8:8">
      <c r="H93" s="16" t="s">
        <v>351</v>
      </c>
    </row>
    <row r="94" spans="8:8">
      <c r="H94" s="15"/>
    </row>
    <row r="95" spans="8:8">
      <c r="H95" s="16" t="s">
        <v>352</v>
      </c>
    </row>
    <row r="96" spans="8:8">
      <c r="H96" s="15"/>
    </row>
    <row r="97" spans="8:8">
      <c r="H97" s="16" t="s">
        <v>353</v>
      </c>
    </row>
    <row r="98" spans="8:8">
      <c r="H98" s="15"/>
    </row>
    <row r="99" spans="8:8">
      <c r="H99" s="16" t="s">
        <v>354</v>
      </c>
    </row>
    <row r="100" spans="8:8">
      <c r="H100" s="15"/>
    </row>
    <row r="101" spans="8:8">
      <c r="H101" s="16" t="s">
        <v>355</v>
      </c>
    </row>
    <row r="102" spans="8:8">
      <c r="H102" s="15"/>
    </row>
    <row r="103" spans="8:8">
      <c r="H103" s="16" t="s">
        <v>356</v>
      </c>
    </row>
    <row r="107" spans="8:8">
      <c r="H107" s="6" t="s">
        <v>357</v>
      </c>
    </row>
    <row r="109" spans="8:8">
      <c r="H109" s="6"/>
    </row>
  </sheetData>
  <mergeCells count="3">
    <mergeCell ref="C32:D32"/>
    <mergeCell ref="C33:D33"/>
    <mergeCell ref="A1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"/>
  <sheetViews>
    <sheetView topLeftCell="D1" workbookViewId="0">
      <selection activeCell="J7" sqref="J7"/>
    </sheetView>
  </sheetViews>
  <sheetFormatPr defaultColWidth="9" defaultRowHeight="14.4"/>
  <cols>
    <col min="4" max="4" width="12.5546875" customWidth="1"/>
    <col min="8" max="8" width="15.21875" customWidth="1"/>
  </cols>
  <sheetData>
    <row r="1" spans="1:9">
      <c r="A1" s="66" t="s">
        <v>4</v>
      </c>
      <c r="B1" s="66" t="s">
        <v>358</v>
      </c>
      <c r="C1" s="66" t="s">
        <v>359</v>
      </c>
      <c r="D1" s="66" t="s">
        <v>360</v>
      </c>
      <c r="G1" s="67" t="s">
        <v>361</v>
      </c>
      <c r="H1" s="67" t="s">
        <v>362</v>
      </c>
    </row>
    <row r="2" spans="1:9">
      <c r="A2" s="9" t="s">
        <v>9</v>
      </c>
      <c r="B2" s="9">
        <v>723</v>
      </c>
      <c r="C2" s="9">
        <f>B2*100/1000</f>
        <v>72.3</v>
      </c>
      <c r="D2" s="9">
        <f>INT(C2)</f>
        <v>72</v>
      </c>
      <c r="G2" s="9">
        <v>2.12</v>
      </c>
      <c r="H2" s="9">
        <f>INT(G2)</f>
        <v>2</v>
      </c>
      <c r="I2" cm="1">
        <f t="array" ref="I2:I6">INT(G2:G6)</f>
        <v>2</v>
      </c>
    </row>
    <row r="3" spans="1:9">
      <c r="A3" s="9" t="s">
        <v>17</v>
      </c>
      <c r="B3" s="9">
        <v>257</v>
      </c>
      <c r="C3" s="9">
        <f t="shared" ref="C3:C8" si="0">B3*100/1000</f>
        <v>25.7</v>
      </c>
      <c r="D3" s="9">
        <v>4</v>
      </c>
      <c r="G3" s="2">
        <v>2124</v>
      </c>
      <c r="H3" s="9">
        <f t="shared" ref="H3:H6" si="1">INT(G3)</f>
        <v>2124</v>
      </c>
      <c r="I3">
        <v>2124</v>
      </c>
    </row>
    <row r="4" spans="1:9">
      <c r="A4" s="9" t="s">
        <v>363</v>
      </c>
      <c r="B4" s="9">
        <v>389</v>
      </c>
      <c r="C4" s="9">
        <f t="shared" si="0"/>
        <v>38.9</v>
      </c>
      <c r="D4" s="9">
        <v>5</v>
      </c>
      <c r="G4" s="9">
        <v>-2341</v>
      </c>
      <c r="H4" s="9">
        <f t="shared" si="1"/>
        <v>-2341</v>
      </c>
      <c r="I4">
        <v>-2341</v>
      </c>
    </row>
    <row r="5" spans="1:9">
      <c r="A5" s="9" t="s">
        <v>364</v>
      </c>
      <c r="B5" s="9">
        <v>821</v>
      </c>
      <c r="C5" s="9">
        <f t="shared" si="0"/>
        <v>82.1</v>
      </c>
      <c r="D5" s="9">
        <v>7</v>
      </c>
      <c r="G5" s="9">
        <v>-12.343999999999999</v>
      </c>
      <c r="H5" s="9">
        <f t="shared" si="1"/>
        <v>-13</v>
      </c>
      <c r="I5">
        <v>-13</v>
      </c>
    </row>
    <row r="6" spans="1:9">
      <c r="A6" s="9" t="s">
        <v>365</v>
      </c>
      <c r="B6" s="9">
        <v>997</v>
      </c>
      <c r="C6" s="9">
        <f t="shared" si="0"/>
        <v>99.7</v>
      </c>
      <c r="D6" s="9">
        <v>8</v>
      </c>
      <c r="G6" s="9">
        <v>0.45100000000000001</v>
      </c>
      <c r="H6" s="9">
        <f t="shared" si="1"/>
        <v>0</v>
      </c>
      <c r="I6">
        <v>0</v>
      </c>
    </row>
    <row r="7" spans="1:9">
      <c r="A7" s="9" t="s">
        <v>366</v>
      </c>
      <c r="B7" s="9">
        <v>383</v>
      </c>
      <c r="C7" s="9">
        <f t="shared" si="0"/>
        <v>38.299999999999997</v>
      </c>
      <c r="D7" s="9">
        <v>9</v>
      </c>
    </row>
    <row r="8" spans="1:9">
      <c r="A8" s="9" t="s">
        <v>367</v>
      </c>
      <c r="B8" s="9">
        <v>668</v>
      </c>
      <c r="C8" s="9">
        <f t="shared" si="0"/>
        <v>66.8</v>
      </c>
      <c r="D8" s="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I4:N17"/>
  <sheetViews>
    <sheetView topLeftCell="G4" workbookViewId="0">
      <selection activeCell="P6" sqref="P6"/>
    </sheetView>
  </sheetViews>
  <sheetFormatPr defaultColWidth="9" defaultRowHeight="14.4"/>
  <sheetData>
    <row r="4" spans="9:14">
      <c r="I4" s="158" t="s">
        <v>368</v>
      </c>
      <c r="J4" s="158"/>
      <c r="K4" s="158"/>
      <c r="L4" s="158"/>
      <c r="M4" s="158"/>
      <c r="N4" s="158"/>
    </row>
    <row r="5" spans="9:14">
      <c r="I5" s="159" t="s">
        <v>361</v>
      </c>
      <c r="J5" s="159"/>
      <c r="K5" s="159" t="s">
        <v>369</v>
      </c>
      <c r="L5" s="159"/>
      <c r="M5" s="159" t="s">
        <v>370</v>
      </c>
      <c r="N5" s="159"/>
    </row>
    <row r="6" spans="9:14">
      <c r="I6" s="157">
        <v>5</v>
      </c>
      <c r="J6" s="157"/>
      <c r="K6" s="157">
        <v>2</v>
      </c>
      <c r="L6" s="157"/>
      <c r="M6" s="157">
        <f>MOD(I6,K6)</f>
        <v>1</v>
      </c>
      <c r="N6" s="157"/>
    </row>
    <row r="7" spans="9:14">
      <c r="I7" s="157">
        <v>10</v>
      </c>
      <c r="J7" s="157"/>
      <c r="K7" s="157">
        <v>3</v>
      </c>
      <c r="L7" s="157"/>
      <c r="M7" s="157"/>
      <c r="N7" s="157"/>
    </row>
    <row r="8" spans="9:14">
      <c r="I8" s="157">
        <v>15</v>
      </c>
      <c r="J8" s="157"/>
      <c r="K8" s="157">
        <v>4</v>
      </c>
      <c r="L8" s="157"/>
      <c r="M8" s="157"/>
      <c r="N8" s="157"/>
    </row>
    <row r="9" spans="9:14">
      <c r="I9" s="157">
        <v>20</v>
      </c>
      <c r="J9" s="157"/>
      <c r="K9" s="157">
        <v>5</v>
      </c>
      <c r="L9" s="157"/>
      <c r="M9" s="157"/>
      <c r="N9" s="157"/>
    </row>
    <row r="10" spans="9:14">
      <c r="I10" s="157">
        <v>25</v>
      </c>
      <c r="J10" s="157"/>
      <c r="K10" s="157">
        <v>6</v>
      </c>
      <c r="L10" s="157"/>
      <c r="M10" s="157"/>
      <c r="N10" s="157"/>
    </row>
    <row r="11" spans="9:14">
      <c r="I11" s="157">
        <v>30</v>
      </c>
      <c r="J11" s="157"/>
      <c r="K11" s="157">
        <v>7</v>
      </c>
      <c r="L11" s="157"/>
      <c r="M11" s="157"/>
      <c r="N11" s="157"/>
    </row>
    <row r="12" spans="9:14">
      <c r="I12" s="157">
        <v>35</v>
      </c>
      <c r="J12" s="157"/>
      <c r="K12" s="157">
        <v>8</v>
      </c>
      <c r="L12" s="157"/>
      <c r="M12" s="157"/>
      <c r="N12" s="157"/>
    </row>
    <row r="13" spans="9:14">
      <c r="I13" s="157">
        <v>40</v>
      </c>
      <c r="J13" s="157"/>
      <c r="K13" s="157">
        <v>9</v>
      </c>
      <c r="L13" s="157"/>
      <c r="M13" s="157"/>
      <c r="N13" s="157"/>
    </row>
    <row r="14" spans="9:14">
      <c r="I14" s="157">
        <v>45</v>
      </c>
      <c r="J14" s="157"/>
      <c r="K14" s="157">
        <v>10</v>
      </c>
      <c r="L14" s="157"/>
      <c r="M14" s="157"/>
      <c r="N14" s="157"/>
    </row>
    <row r="15" spans="9:14">
      <c r="I15" s="157">
        <v>50</v>
      </c>
      <c r="J15" s="157"/>
      <c r="K15" s="157">
        <v>11</v>
      </c>
      <c r="L15" s="157"/>
      <c r="M15" s="157"/>
      <c r="N15" s="157"/>
    </row>
    <row r="16" spans="9:14">
      <c r="I16" s="157">
        <v>55</v>
      </c>
      <c r="J16" s="157"/>
      <c r="K16" s="157">
        <v>12</v>
      </c>
      <c r="L16" s="157"/>
      <c r="M16" s="157"/>
      <c r="N16" s="157"/>
    </row>
    <row r="17" spans="9:14">
      <c r="I17" s="157">
        <v>60</v>
      </c>
      <c r="J17" s="157"/>
      <c r="K17" s="157">
        <v>13</v>
      </c>
      <c r="L17" s="157"/>
      <c r="M17" s="157"/>
      <c r="N17" s="157"/>
    </row>
  </sheetData>
  <mergeCells count="40">
    <mergeCell ref="I4:N4"/>
    <mergeCell ref="I5:J5"/>
    <mergeCell ref="K5:L5"/>
    <mergeCell ref="M5:N5"/>
    <mergeCell ref="I6:J6"/>
    <mergeCell ref="K6:L6"/>
    <mergeCell ref="M6:N6"/>
    <mergeCell ref="I7:J7"/>
    <mergeCell ref="K7:L7"/>
    <mergeCell ref="M7:N7"/>
    <mergeCell ref="I8:J8"/>
    <mergeCell ref="K8:L8"/>
    <mergeCell ref="M8:N8"/>
    <mergeCell ref="I9:J9"/>
    <mergeCell ref="K9:L9"/>
    <mergeCell ref="M9:N9"/>
    <mergeCell ref="I10:J10"/>
    <mergeCell ref="K10:L10"/>
    <mergeCell ref="M10:N10"/>
    <mergeCell ref="I11:J11"/>
    <mergeCell ref="K11:L11"/>
    <mergeCell ref="M11:N11"/>
    <mergeCell ref="I12:J12"/>
    <mergeCell ref="K12:L12"/>
    <mergeCell ref="M12:N12"/>
    <mergeCell ref="I13:J13"/>
    <mergeCell ref="K13:L13"/>
    <mergeCell ref="M13:N13"/>
    <mergeCell ref="I14:J14"/>
    <mergeCell ref="K14:L14"/>
    <mergeCell ref="M14:N14"/>
    <mergeCell ref="I17:J17"/>
    <mergeCell ref="K17:L17"/>
    <mergeCell ref="M17:N17"/>
    <mergeCell ref="I15:J15"/>
    <mergeCell ref="K15:L15"/>
    <mergeCell ref="M15:N15"/>
    <mergeCell ref="I16:J16"/>
    <mergeCell ref="K16:L16"/>
    <mergeCell ref="M16:N1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4:G17"/>
  <sheetViews>
    <sheetView topLeftCell="D4" workbookViewId="0">
      <selection activeCell="I10" sqref="I10"/>
    </sheetView>
  </sheetViews>
  <sheetFormatPr defaultColWidth="9" defaultRowHeight="14.4"/>
  <cols>
    <col min="4" max="4" width="15.77734375" customWidth="1"/>
  </cols>
  <sheetData>
    <row r="4" spans="2:7">
      <c r="B4" s="160" t="s">
        <v>371</v>
      </c>
      <c r="C4" s="160"/>
      <c r="D4" s="160"/>
      <c r="E4" s="160"/>
      <c r="F4" s="160"/>
      <c r="G4" s="160"/>
    </row>
    <row r="6" spans="2:7">
      <c r="C6" s="59" t="s">
        <v>4</v>
      </c>
      <c r="D6" s="46" t="s">
        <v>372</v>
      </c>
    </row>
    <row r="7" spans="2:7">
      <c r="C7" s="12" t="s">
        <v>257</v>
      </c>
      <c r="D7" s="9" t="str" cm="1">
        <f t="array" ref="D7:D13">_xlfn.UNIQUE(C7:C17)</f>
        <v>Kimi</v>
      </c>
      <c r="F7" t="str" cm="1">
        <f t="array" ref="F7:F13">_xlfn.UNIQUE(C7:C17)</f>
        <v>Kimi</v>
      </c>
    </row>
    <row r="8" spans="2:7">
      <c r="C8" s="12" t="s">
        <v>255</v>
      </c>
      <c r="D8" s="9" t="str">
        <v>Jani</v>
      </c>
      <c r="F8" t="str">
        <v>Jani</v>
      </c>
    </row>
    <row r="9" spans="2:7">
      <c r="C9" s="12" t="s">
        <v>373</v>
      </c>
      <c r="D9" s="9" t="str">
        <v>Karo</v>
      </c>
      <c r="F9" t="str">
        <v>Karo</v>
      </c>
    </row>
    <row r="10" spans="2:7">
      <c r="C10" s="12" t="s">
        <v>14</v>
      </c>
      <c r="D10" s="9" t="str">
        <v>Amit</v>
      </c>
      <c r="F10" t="str">
        <v>Amit</v>
      </c>
    </row>
    <row r="11" spans="2:7">
      <c r="C11" s="12" t="s">
        <v>243</v>
      </c>
      <c r="D11" s="9" t="str">
        <v>Kiran</v>
      </c>
      <c r="F11" t="str">
        <v>Kiran</v>
      </c>
    </row>
    <row r="12" spans="2:7">
      <c r="C12" s="12" t="s">
        <v>255</v>
      </c>
      <c r="D12" s="9" t="str">
        <v>Jittu</v>
      </c>
      <c r="F12" t="str">
        <v>Jittu</v>
      </c>
    </row>
    <row r="13" spans="2:7">
      <c r="C13" s="12" t="s">
        <v>374</v>
      </c>
      <c r="D13" s="9" t="str">
        <v>Manish</v>
      </c>
      <c r="F13" t="str">
        <v>Manish</v>
      </c>
    </row>
    <row r="14" spans="2:7">
      <c r="C14" s="12" t="s">
        <v>374</v>
      </c>
      <c r="D14" s="9"/>
    </row>
    <row r="15" spans="2:7">
      <c r="C15" s="12" t="s">
        <v>373</v>
      </c>
      <c r="D15" s="9"/>
    </row>
    <row r="16" spans="2:7">
      <c r="C16" s="12" t="s">
        <v>9</v>
      </c>
      <c r="D16" s="9"/>
    </row>
    <row r="17" spans="3:4">
      <c r="C17" s="12" t="s">
        <v>9</v>
      </c>
      <c r="D17" s="9"/>
    </row>
  </sheetData>
  <mergeCells count="1">
    <mergeCell ref="B4:G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60"/>
  <sheetViews>
    <sheetView workbookViewId="0">
      <selection activeCell="G7" sqref="G7"/>
    </sheetView>
  </sheetViews>
  <sheetFormatPr defaultColWidth="9" defaultRowHeight="14.4"/>
  <cols>
    <col min="1" max="5" width="23.77734375" customWidth="1"/>
    <col min="6" max="6" width="18.21875" customWidth="1"/>
    <col min="8" max="8" width="36" customWidth="1"/>
    <col min="17" max="20" width="12.21875" customWidth="1"/>
  </cols>
  <sheetData>
    <row r="1" spans="4:18" ht="17.399999999999999">
      <c r="D1" s="161" t="s">
        <v>375</v>
      </c>
      <c r="E1" s="161"/>
      <c r="F1" s="161"/>
      <c r="G1" s="161"/>
      <c r="H1" s="161"/>
      <c r="I1" s="161"/>
      <c r="Q1" s="35" t="s">
        <v>376</v>
      </c>
    </row>
    <row r="2" spans="4:18">
      <c r="D2" s="46" t="s">
        <v>377</v>
      </c>
      <c r="E2" s="46" t="s">
        <v>378</v>
      </c>
      <c r="F2" s="46" t="s">
        <v>379</v>
      </c>
      <c r="G2" s="46" t="s">
        <v>189</v>
      </c>
      <c r="H2" s="46" t="s">
        <v>380</v>
      </c>
    </row>
    <row r="3" spans="4:18">
      <c r="D3" s="42" t="s">
        <v>381</v>
      </c>
      <c r="E3" s="9" t="s">
        <v>382</v>
      </c>
      <c r="F3" s="9"/>
      <c r="G3" s="9">
        <f>SEARCH(D3,E3)</f>
        <v>1</v>
      </c>
      <c r="H3" s="9" t="s">
        <v>383</v>
      </c>
      <c r="Q3" s="6" t="s">
        <v>384</v>
      </c>
    </row>
    <row r="4" spans="4:18">
      <c r="D4" s="42" t="s">
        <v>385</v>
      </c>
      <c r="E4" s="9" t="s">
        <v>382</v>
      </c>
      <c r="F4" s="42">
        <v>1</v>
      </c>
      <c r="G4" s="9">
        <f t="shared" ref="G4:G5" si="0">SEARCH(D4,E4)</f>
        <v>2</v>
      </c>
      <c r="H4" s="9" t="s">
        <v>386</v>
      </c>
    </row>
    <row r="5" spans="4:18">
      <c r="D5" s="42" t="s">
        <v>387</v>
      </c>
      <c r="E5" s="9" t="s">
        <v>388</v>
      </c>
      <c r="F5" s="42">
        <v>1</v>
      </c>
      <c r="G5" s="9">
        <f t="shared" si="0"/>
        <v>1</v>
      </c>
      <c r="H5" s="9" t="s">
        <v>389</v>
      </c>
    </row>
    <row r="6" spans="4:18">
      <c r="D6" s="42" t="s">
        <v>390</v>
      </c>
      <c r="E6" s="9" t="s">
        <v>391</v>
      </c>
      <c r="F6" s="42">
        <v>1</v>
      </c>
      <c r="G6" s="9">
        <f>SEARCH(D6,E6)</f>
        <v>6</v>
      </c>
      <c r="H6" s="9" t="s">
        <v>392</v>
      </c>
    </row>
    <row r="7" spans="4:18" ht="17.399999999999999">
      <c r="Q7" s="35" t="s">
        <v>393</v>
      </c>
    </row>
    <row r="8" spans="4:18">
      <c r="J8" t="s">
        <v>394</v>
      </c>
    </row>
    <row r="9" spans="4:18">
      <c r="Q9" s="19" t="s">
        <v>395</v>
      </c>
    </row>
    <row r="10" spans="4:18">
      <c r="Q10" s="50"/>
    </row>
    <row r="11" spans="4:18" ht="28.8">
      <c r="Q11" s="43" t="s">
        <v>396</v>
      </c>
      <c r="R11" s="43" t="s">
        <v>397</v>
      </c>
    </row>
    <row r="12" spans="4:18" ht="57.6">
      <c r="Q12" s="45" t="s">
        <v>398</v>
      </c>
      <c r="R12" s="44" t="s">
        <v>399</v>
      </c>
    </row>
    <row r="13" spans="4:18" ht="57.6">
      <c r="Q13" s="45" t="s">
        <v>400</v>
      </c>
      <c r="R13" s="44" t="s">
        <v>401</v>
      </c>
    </row>
    <row r="14" spans="4:18" ht="86.4">
      <c r="Q14" s="45" t="s">
        <v>402</v>
      </c>
      <c r="R14" s="44" t="s">
        <v>403</v>
      </c>
    </row>
    <row r="17" spans="1:18" ht="17.399999999999999">
      <c r="Q17" s="35" t="s">
        <v>404</v>
      </c>
    </row>
    <row r="19" spans="1:18" ht="28.8">
      <c r="Q19" s="43" t="s">
        <v>405</v>
      </c>
      <c r="R19" s="43" t="s">
        <v>397</v>
      </c>
    </row>
    <row r="20" spans="1:18" ht="86.4">
      <c r="Q20" s="44" t="s">
        <v>406</v>
      </c>
      <c r="R20" s="44" t="s">
        <v>407</v>
      </c>
    </row>
    <row r="21" spans="1:18" ht="57.6">
      <c r="Q21" s="44" t="s">
        <v>408</v>
      </c>
      <c r="R21" s="44" t="s">
        <v>409</v>
      </c>
    </row>
    <row r="22" spans="1:18" ht="100.8">
      <c r="Q22" s="44" t="s">
        <v>410</v>
      </c>
      <c r="R22" s="44" t="s">
        <v>411</v>
      </c>
    </row>
    <row r="23" spans="1:18" ht="57.6">
      <c r="Q23" s="44" t="s">
        <v>412</v>
      </c>
      <c r="R23" s="44" t="s">
        <v>413</v>
      </c>
    </row>
    <row r="24" spans="1:18" ht="72">
      <c r="A24" s="6" t="s">
        <v>414</v>
      </c>
      <c r="Q24" s="44" t="s">
        <v>415</v>
      </c>
      <c r="R24" s="44" t="s">
        <v>416</v>
      </c>
    </row>
    <row r="25" spans="1:18" ht="86.4">
      <c r="Q25" s="44" t="s">
        <v>417</v>
      </c>
      <c r="R25" s="44" t="s">
        <v>418</v>
      </c>
    </row>
    <row r="28" spans="1:18" ht="22.2">
      <c r="A28" s="14" t="s">
        <v>419</v>
      </c>
      <c r="Q28" s="35" t="s">
        <v>420</v>
      </c>
    </row>
    <row r="30" spans="1:18">
      <c r="A30" s="6" t="s">
        <v>421</v>
      </c>
    </row>
    <row r="32" spans="1:18" ht="15.6">
      <c r="Q32" s="52" t="s">
        <v>422</v>
      </c>
    </row>
    <row r="34" spans="1:17" ht="22.2">
      <c r="A34" s="14" t="s">
        <v>423</v>
      </c>
      <c r="Q34" s="19">
        <f>SEARCH("e","Excel")</f>
        <v>1</v>
      </c>
    </row>
    <row r="36" spans="1:17">
      <c r="A36" s="19" t="s">
        <v>424</v>
      </c>
      <c r="Q36" s="6" t="s">
        <v>425</v>
      </c>
    </row>
    <row r="37" spans="1:17">
      <c r="Q37" s="6" t="s">
        <v>426</v>
      </c>
    </row>
    <row r="38" spans="1:17" ht="17.399999999999999">
      <c r="A38" s="35" t="s">
        <v>427</v>
      </c>
    </row>
    <row r="40" spans="1:17" ht="28.8" customHeight="1">
      <c r="A40" s="43" t="s">
        <v>396</v>
      </c>
      <c r="B40" s="43" t="s">
        <v>397</v>
      </c>
    </row>
    <row r="41" spans="1:17" ht="86.4" customHeight="1">
      <c r="A41" s="45" t="s">
        <v>398</v>
      </c>
      <c r="B41" s="44" t="s">
        <v>428</v>
      </c>
      <c r="Q41" s="52" t="s">
        <v>429</v>
      </c>
    </row>
    <row r="42" spans="1:17" ht="57.6" customHeight="1">
      <c r="A42" s="45" t="s">
        <v>400</v>
      </c>
      <c r="B42" s="44" t="s">
        <v>430</v>
      </c>
    </row>
    <row r="43" spans="1:17" ht="100.8" customHeight="1">
      <c r="A43" s="45" t="s">
        <v>402</v>
      </c>
      <c r="B43" s="44" t="s">
        <v>431</v>
      </c>
      <c r="Q43" s="19">
        <f>SEARCH("cel","Microsoft Excel")</f>
        <v>13</v>
      </c>
    </row>
    <row r="45" spans="1:17">
      <c r="Q45" s="6" t="s">
        <v>432</v>
      </c>
    </row>
    <row r="46" spans="1:17" ht="22.2">
      <c r="A46" s="14" t="s">
        <v>433</v>
      </c>
      <c r="Q46" s="6" t="s">
        <v>434</v>
      </c>
    </row>
    <row r="48" spans="1:17" ht="28.8" customHeight="1">
      <c r="A48" s="43" t="s">
        <v>405</v>
      </c>
      <c r="B48" s="43" t="s">
        <v>397</v>
      </c>
    </row>
    <row r="49" spans="1:17" ht="100.8" customHeight="1">
      <c r="A49" s="44" t="s">
        <v>435</v>
      </c>
      <c r="B49" s="44" t="s">
        <v>436</v>
      </c>
    </row>
    <row r="50" spans="1:17" ht="100.8" customHeight="1">
      <c r="A50" s="44" t="s">
        <v>437</v>
      </c>
      <c r="B50" s="44" t="s">
        <v>438</v>
      </c>
      <c r="Q50" s="52" t="s">
        <v>439</v>
      </c>
    </row>
    <row r="51" spans="1:17" ht="100.8" customHeight="1">
      <c r="A51" s="44" t="s">
        <v>440</v>
      </c>
      <c r="B51" s="44" t="s">
        <v>441</v>
      </c>
    </row>
    <row r="52" spans="1:17" ht="86.4" customHeight="1">
      <c r="A52" s="44" t="s">
        <v>442</v>
      </c>
      <c r="B52" s="44" t="s">
        <v>443</v>
      </c>
      <c r="Q52" s="19">
        <f>SEARCH("e","eLearning with Excel",5)</f>
        <v>16</v>
      </c>
    </row>
    <row r="53" spans="1:17" ht="86.4" customHeight="1">
      <c r="A53" s="44" t="s">
        <v>444</v>
      </c>
      <c r="B53" s="44" t="s">
        <v>445</v>
      </c>
    </row>
    <row r="54" spans="1:17">
      <c r="Q54" s="6" t="s">
        <v>446</v>
      </c>
    </row>
    <row r="55" spans="1:17">
      <c r="Q55" s="6" t="s">
        <v>447</v>
      </c>
    </row>
    <row r="56" spans="1:17" ht="22.2">
      <c r="A56" s="14" t="s">
        <v>448</v>
      </c>
    </row>
    <row r="58" spans="1:17">
      <c r="A58" s="43" t="s">
        <v>405</v>
      </c>
      <c r="B58" s="65" t="s">
        <v>449</v>
      </c>
      <c r="C58" s="65" t="s">
        <v>450</v>
      </c>
    </row>
    <row r="59" spans="1:17" ht="28.8" customHeight="1">
      <c r="A59" s="44" t="s">
        <v>451</v>
      </c>
      <c r="B59" s="44" t="s">
        <v>452</v>
      </c>
      <c r="C59" s="44" t="s">
        <v>453</v>
      </c>
      <c r="Q59" s="52" t="s">
        <v>454</v>
      </c>
    </row>
    <row r="60" spans="1:17" ht="28.8" customHeight="1">
      <c r="A60" s="44" t="s">
        <v>455</v>
      </c>
      <c r="B60" s="44" t="s">
        <v>456</v>
      </c>
      <c r="C60" s="44" t="s">
        <v>452</v>
      </c>
    </row>
    <row r="61" spans="1:17">
      <c r="Q61" s="19" t="e">
        <f>IF(SEARCH("Pro",A1),"Contains Pro","No Match")</f>
        <v>#VALUE!</v>
      </c>
    </row>
    <row r="63" spans="1:17" ht="22.2">
      <c r="A63" s="14" t="s">
        <v>457</v>
      </c>
      <c r="Q63" s="6" t="s">
        <v>458</v>
      </c>
    </row>
    <row r="67" spans="1:17" ht="17.399999999999999">
      <c r="A67" s="35" t="s">
        <v>459</v>
      </c>
      <c r="Q67" s="52" t="s">
        <v>460</v>
      </c>
    </row>
    <row r="69" spans="1:17">
      <c r="A69" s="19">
        <f>SEARCH("day","Monday")</f>
        <v>4</v>
      </c>
      <c r="Q69" s="19" t="e">
        <f>MID(A1,SEARCH("@",A1)+1,LEN(A1))</f>
        <v>#VALUE!</v>
      </c>
    </row>
    <row r="71" spans="1:17">
      <c r="A71" s="6" t="s">
        <v>461</v>
      </c>
      <c r="Q71" s="6" t="s">
        <v>462</v>
      </c>
    </row>
    <row r="72" spans="1:17">
      <c r="Q72" s="6" t="s">
        <v>463</v>
      </c>
    </row>
    <row r="75" spans="1:17" ht="17.399999999999999">
      <c r="A75" s="35" t="s">
        <v>464</v>
      </c>
    </row>
    <row r="76" spans="1:17" ht="15.6">
      <c r="Q76" s="52" t="s">
        <v>465</v>
      </c>
    </row>
    <row r="77" spans="1:17">
      <c r="A77" s="19">
        <f>SEARCH("A","banana")</f>
        <v>2</v>
      </c>
    </row>
    <row r="78" spans="1:17">
      <c r="Q78" s="19" t="e">
        <f>SEARCH(" ",A1)</f>
        <v>#VALUE!</v>
      </c>
    </row>
    <row r="79" spans="1:17">
      <c r="A79" s="6" t="s">
        <v>466</v>
      </c>
    </row>
    <row r="80" spans="1:17">
      <c r="Q80" s="6" t="s">
        <v>467</v>
      </c>
    </row>
    <row r="83" spans="1:17" ht="17.399999999999999">
      <c r="A83" s="35" t="s">
        <v>468</v>
      </c>
    </row>
    <row r="84" spans="1:17" ht="15.6">
      <c r="Q84" s="52" t="s">
        <v>469</v>
      </c>
    </row>
    <row r="85" spans="1:17">
      <c r="A85" s="19">
        <f>SEARCH("a","banana",3)</f>
        <v>4</v>
      </c>
    </row>
    <row r="86" spans="1:17">
      <c r="Q86" s="19" t="e">
        <f>LEFT(A1,SEARCH(" ",A1)-1)</f>
        <v>#VALUE!</v>
      </c>
    </row>
    <row r="87" spans="1:17">
      <c r="A87" s="6" t="s">
        <v>470</v>
      </c>
    </row>
    <row r="88" spans="1:17">
      <c r="Q88" s="6" t="s">
        <v>471</v>
      </c>
    </row>
    <row r="91" spans="1:17" ht="17.399999999999999">
      <c r="A91" s="35" t="s">
        <v>472</v>
      </c>
    </row>
    <row r="92" spans="1:17" ht="15.6">
      <c r="Q92" s="52" t="s">
        <v>473</v>
      </c>
    </row>
    <row r="93" spans="1:17">
      <c r="A93" s="19">
        <f>SEARCH("a?a","banana")</f>
        <v>2</v>
      </c>
    </row>
    <row r="94" spans="1:17">
      <c r="Q94" s="19" t="e">
        <f>RIGHT(A1,LEN(A1)-SEARCH(" ",A1))</f>
        <v>#VALUE!</v>
      </c>
    </row>
    <row r="95" spans="1:17">
      <c r="A95" s="6" t="s">
        <v>474</v>
      </c>
    </row>
    <row r="96" spans="1:17">
      <c r="Q96" s="6" t="s">
        <v>475</v>
      </c>
    </row>
    <row r="99" spans="1:17" ht="17.399999999999999">
      <c r="A99" s="35" t="s">
        <v>476</v>
      </c>
    </row>
    <row r="100" spans="1:17" ht="15.6">
      <c r="Q100" s="52" t="s">
        <v>477</v>
      </c>
    </row>
    <row r="101" spans="1:17">
      <c r="A101" s="19" t="str">
        <f>IF(ISNUMBER(SEARCH("apple",A1)),"Found","Not Found")</f>
        <v>Not Found</v>
      </c>
    </row>
    <row r="102" spans="1:17">
      <c r="Q102" s="19">
        <f>SEARCH("excel","Microsoft EXCEL")</f>
        <v>11</v>
      </c>
    </row>
    <row r="103" spans="1:17">
      <c r="A103" s="6" t="s">
        <v>478</v>
      </c>
    </row>
    <row r="104" spans="1:17">
      <c r="Q104" s="6" t="s">
        <v>432</v>
      </c>
    </row>
    <row r="105" spans="1:17">
      <c r="Q105" s="6" t="s">
        <v>479</v>
      </c>
    </row>
    <row r="107" spans="1:17" ht="17.399999999999999">
      <c r="A107" s="35" t="s">
        <v>480</v>
      </c>
    </row>
    <row r="109" spans="1:17" ht="15.6">
      <c r="A109" s="19" t="e">
        <f>LEFT(A2,SEARCH(" ",A2)-1)</f>
        <v>#VALUE!</v>
      </c>
      <c r="Q109" s="52" t="s">
        <v>481</v>
      </c>
    </row>
    <row r="111" spans="1:17">
      <c r="A111" s="6" t="s">
        <v>482</v>
      </c>
      <c r="Q111" s="19" t="str">
        <f>IFERROR(SEARCH("data",A1),"Not Found")</f>
        <v>Not Found</v>
      </c>
    </row>
    <row r="113" spans="1:19">
      <c r="Q113" s="6" t="s">
        <v>483</v>
      </c>
    </row>
    <row r="115" spans="1:19" ht="17.399999999999999">
      <c r="A115" s="35" t="s">
        <v>484</v>
      </c>
    </row>
    <row r="117" spans="1:19" ht="17.399999999999999">
      <c r="A117" s="19" t="e">
        <f>MID(A2,SEARCH("@",A2)+1,LEN(A2))</f>
        <v>#VALUE!</v>
      </c>
      <c r="Q117" s="35" t="s">
        <v>485</v>
      </c>
    </row>
    <row r="119" spans="1:19">
      <c r="A119" s="64" t="s">
        <v>486</v>
      </c>
      <c r="Q119" s="43" t="s">
        <v>487</v>
      </c>
      <c r="R119" s="43" t="s">
        <v>488</v>
      </c>
    </row>
    <row r="120" spans="1:19" ht="55.2">
      <c r="Q120" s="45" t="e">
        <v>#VALUE!</v>
      </c>
      <c r="R120" s="45" t="s">
        <v>489</v>
      </c>
    </row>
    <row r="121" spans="1:19" ht="28.8">
      <c r="Q121" s="44" t="s">
        <v>490</v>
      </c>
      <c r="R121" s="44" t="s">
        <v>491</v>
      </c>
    </row>
    <row r="122" spans="1:19" ht="57.6">
      <c r="Q122" s="44" t="s">
        <v>492</v>
      </c>
      <c r="R122" s="44" t="s">
        <v>493</v>
      </c>
    </row>
    <row r="123" spans="1:19" ht="17.399999999999999">
      <c r="A123" s="35" t="s">
        <v>494</v>
      </c>
    </row>
    <row r="125" spans="1:19" ht="17.399999999999999">
      <c r="A125" s="19" t="e" cm="1">
        <f t="array" ref="A125">MIN(SEARCH({"a","e","i","o","u"},A1))</f>
        <v>#VALUE!</v>
      </c>
      <c r="Q125" s="35" t="s">
        <v>495</v>
      </c>
    </row>
    <row r="127" spans="1:19" ht="28.8">
      <c r="A127" s="6" t="s">
        <v>496</v>
      </c>
      <c r="Q127" s="43" t="s">
        <v>497</v>
      </c>
      <c r="R127" s="43" t="s">
        <v>498</v>
      </c>
      <c r="S127" s="43" t="s">
        <v>499</v>
      </c>
    </row>
    <row r="128" spans="1:19">
      <c r="Q128" s="45" t="s">
        <v>449</v>
      </c>
      <c r="R128" s="44" t="s">
        <v>452</v>
      </c>
      <c r="S128" s="44" t="s">
        <v>500</v>
      </c>
    </row>
    <row r="129" spans="1:19" ht="28.8">
      <c r="Q129" s="45" t="s">
        <v>450</v>
      </c>
      <c r="R129" s="44" t="s">
        <v>453</v>
      </c>
      <c r="S129" s="44" t="s">
        <v>501</v>
      </c>
    </row>
    <row r="131" spans="1:19" ht="17.399999999999999">
      <c r="A131" s="35" t="s">
        <v>502</v>
      </c>
    </row>
    <row r="132" spans="1:19" ht="17.399999999999999">
      <c r="Q132" s="35" t="s">
        <v>503</v>
      </c>
    </row>
    <row r="133" spans="1:19">
      <c r="A133" s="6" t="s">
        <v>504</v>
      </c>
    </row>
    <row r="134" spans="1:19" ht="28.8">
      <c r="Q134" s="43" t="s">
        <v>242</v>
      </c>
      <c r="R134" s="43" t="s">
        <v>397</v>
      </c>
      <c r="S134" s="43" t="s">
        <v>505</v>
      </c>
    </row>
    <row r="135" spans="1:19">
      <c r="A135" s="19" t="e" cm="1">
        <f t="array" aca="1" ref="A135" ca="1">LEN(A1)-SEARCH(" ",REVERSE(A1))+1</f>
        <v>#NAME?</v>
      </c>
      <c r="Q135" s="45">
        <f>SEARCH("x","Excel")</f>
        <v>2</v>
      </c>
      <c r="R135" s="44" t="s">
        <v>506</v>
      </c>
      <c r="S135" s="44">
        <v>3</v>
      </c>
    </row>
    <row r="136" spans="1:19" ht="28.8">
      <c r="Q136" s="45">
        <f>SEARCH("cel","Excel")</f>
        <v>3</v>
      </c>
      <c r="R136" s="44" t="s">
        <v>507</v>
      </c>
      <c r="S136" s="44">
        <v>2</v>
      </c>
    </row>
    <row r="137" spans="1:19">
      <c r="A137" s="6" t="s">
        <v>508</v>
      </c>
      <c r="Q137" s="45">
        <f>SEARCH("@","a@b.com")</f>
        <v>2</v>
      </c>
      <c r="R137" s="44" t="s">
        <v>509</v>
      </c>
      <c r="S137" s="44">
        <v>2</v>
      </c>
    </row>
    <row r="138" spans="1:19" ht="28.8">
      <c r="Q138" s="45">
        <f>SEARCH("E","excel")</f>
        <v>1</v>
      </c>
      <c r="R138" s="44" t="s">
        <v>510</v>
      </c>
      <c r="S138" s="44">
        <v>1</v>
      </c>
    </row>
    <row r="139" spans="1:19" ht="28.8">
      <c r="Q139" s="45" t="str">
        <f>IFERROR(SEARCH("z","Excel"),"Not Found")</f>
        <v>Not Found</v>
      </c>
      <c r="R139" s="44" t="s">
        <v>511</v>
      </c>
      <c r="S139" s="44" t="s">
        <v>512</v>
      </c>
    </row>
    <row r="141" spans="1:19" ht="17.399999999999999">
      <c r="A141" s="35" t="s">
        <v>513</v>
      </c>
    </row>
    <row r="142" spans="1:19" ht="17.399999999999999">
      <c r="Q142" s="35"/>
    </row>
    <row r="143" spans="1:19">
      <c r="A143" s="19" t="e">
        <f>MID(A1,SEARCH(":",A1)+1,LEN(A1))</f>
        <v>#VALUE!</v>
      </c>
    </row>
    <row r="144" spans="1:19">
      <c r="Q144" s="6"/>
    </row>
    <row r="145" spans="1:17">
      <c r="A145" s="6" t="s">
        <v>514</v>
      </c>
    </row>
    <row r="146" spans="1:17">
      <c r="Q146" s="6"/>
    </row>
    <row r="149" spans="1:17" ht="22.2">
      <c r="A149" s="14" t="s">
        <v>515</v>
      </c>
    </row>
    <row r="151" spans="1:17">
      <c r="A151" s="43" t="s">
        <v>405</v>
      </c>
      <c r="B151" s="43" t="s">
        <v>516</v>
      </c>
    </row>
    <row r="152" spans="1:17" ht="28.8">
      <c r="A152" s="44" t="s">
        <v>517</v>
      </c>
      <c r="B152" s="44" t="s">
        <v>453</v>
      </c>
    </row>
    <row r="153" spans="1:17" ht="28.8">
      <c r="A153" s="44" t="s">
        <v>518</v>
      </c>
      <c r="B153" s="44" t="s">
        <v>453</v>
      </c>
    </row>
    <row r="154" spans="1:17" ht="28.8">
      <c r="A154" s="44" t="s">
        <v>519</v>
      </c>
      <c r="B154" s="44" t="s">
        <v>453</v>
      </c>
    </row>
    <row r="155" spans="1:17" ht="28.8">
      <c r="A155" s="44" t="s">
        <v>520</v>
      </c>
      <c r="B155" s="44" t="s">
        <v>453</v>
      </c>
    </row>
    <row r="156" spans="1:17" ht="28.8">
      <c r="A156" s="44" t="s">
        <v>521</v>
      </c>
      <c r="B156" s="44" t="s">
        <v>453</v>
      </c>
    </row>
    <row r="157" spans="1:17" ht="43.2">
      <c r="A157" s="44" t="s">
        <v>522</v>
      </c>
      <c r="B157" s="44" t="s">
        <v>453</v>
      </c>
    </row>
    <row r="160" spans="1:17">
      <c r="A160" s="6" t="s">
        <v>523</v>
      </c>
    </row>
  </sheetData>
  <mergeCells count="1">
    <mergeCell ref="D1:I1"/>
  </mergeCells>
  <hyperlinks>
    <hyperlink ref="A119" r:id="rId1" xr:uid="{00000000-0004-0000-14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54"/>
  <sheetViews>
    <sheetView topLeftCell="A90" workbookViewId="0">
      <selection activeCell="C8" sqref="C8"/>
    </sheetView>
  </sheetViews>
  <sheetFormatPr defaultColWidth="9" defaultRowHeight="14.4"/>
  <cols>
    <col min="1" max="6" width="14.5546875" customWidth="1"/>
  </cols>
  <sheetData>
    <row r="1" spans="1:8" ht="25.8">
      <c r="A1" s="162" t="s">
        <v>524</v>
      </c>
      <c r="B1" s="141"/>
      <c r="C1" s="141"/>
      <c r="D1" s="141"/>
      <c r="E1" s="141"/>
    </row>
    <row r="2" spans="1:8">
      <c r="A2" s="163" t="s">
        <v>525</v>
      </c>
      <c r="B2" s="163"/>
      <c r="C2" s="163"/>
      <c r="D2" s="163"/>
      <c r="E2" s="163"/>
      <c r="F2" s="163"/>
      <c r="G2" s="163"/>
      <c r="H2" s="163"/>
    </row>
    <row r="3" spans="1:8">
      <c r="A3" s="163"/>
      <c r="B3" s="163"/>
      <c r="C3" s="163"/>
      <c r="D3" s="163"/>
      <c r="E3" s="163"/>
      <c r="F3" s="163"/>
      <c r="G3" s="163"/>
      <c r="H3" s="163"/>
    </row>
    <row r="4" spans="1:8">
      <c r="A4" s="163"/>
      <c r="B4" s="163"/>
      <c r="C4" s="163"/>
      <c r="D4" s="163"/>
      <c r="E4" s="163"/>
      <c r="F4" s="163"/>
      <c r="G4" s="163"/>
      <c r="H4" s="163"/>
    </row>
    <row r="5" spans="1:8">
      <c r="A5" s="46" t="s">
        <v>526</v>
      </c>
      <c r="B5" s="46" t="s">
        <v>527</v>
      </c>
      <c r="C5" s="46" t="s">
        <v>189</v>
      </c>
    </row>
    <row r="6" spans="1:8">
      <c r="A6" s="49" t="s">
        <v>528</v>
      </c>
      <c r="B6" s="49" t="s">
        <v>529</v>
      </c>
      <c r="C6" s="42">
        <f>FIND(B6,A6)</f>
        <v>6</v>
      </c>
    </row>
    <row r="7" spans="1:8">
      <c r="A7" s="49" t="s">
        <v>528</v>
      </c>
      <c r="B7" s="49" t="s">
        <v>529</v>
      </c>
      <c r="C7" s="42">
        <f>FIND(B7,A7,7)</f>
        <v>13</v>
      </c>
    </row>
    <row r="9" spans="1:8">
      <c r="A9" s="6" t="s">
        <v>530</v>
      </c>
    </row>
    <row r="13" spans="1:8">
      <c r="A13" s="6" t="s">
        <v>531</v>
      </c>
    </row>
    <row r="17" spans="1:2" ht="22.2">
      <c r="A17" s="14" t="s">
        <v>532</v>
      </c>
    </row>
    <row r="19" spans="1:2">
      <c r="A19" s="6" t="s">
        <v>533</v>
      </c>
    </row>
    <row r="20" spans="1:2">
      <c r="A20" s="6" t="s">
        <v>534</v>
      </c>
    </row>
    <row r="24" spans="1:2" ht="22.2">
      <c r="A24" s="14" t="s">
        <v>423</v>
      </c>
    </row>
    <row r="26" spans="1:2">
      <c r="A26" s="19" t="s">
        <v>535</v>
      </c>
    </row>
    <row r="28" spans="1:2" ht="17.399999999999999">
      <c r="A28" s="35" t="s">
        <v>427</v>
      </c>
    </row>
    <row r="30" spans="1:2">
      <c r="A30" s="43" t="s">
        <v>396</v>
      </c>
      <c r="B30" s="43" t="s">
        <v>397</v>
      </c>
    </row>
    <row r="31" spans="1:2" ht="57.6">
      <c r="A31" s="45" t="s">
        <v>398</v>
      </c>
      <c r="B31" s="44" t="s">
        <v>536</v>
      </c>
    </row>
    <row r="32" spans="1:2" ht="43.2">
      <c r="A32" s="45" t="s">
        <v>400</v>
      </c>
      <c r="B32" s="44" t="s">
        <v>537</v>
      </c>
    </row>
    <row r="33" spans="1:2" ht="72">
      <c r="A33" s="45" t="s">
        <v>402</v>
      </c>
      <c r="B33" s="44" t="s">
        <v>538</v>
      </c>
    </row>
    <row r="36" spans="1:2" ht="22.2">
      <c r="A36" s="14" t="s">
        <v>539</v>
      </c>
    </row>
    <row r="38" spans="1:2">
      <c r="A38" s="43" t="s">
        <v>405</v>
      </c>
      <c r="B38" s="43" t="s">
        <v>397</v>
      </c>
    </row>
    <row r="39" spans="1:2" ht="72">
      <c r="A39" s="44" t="s">
        <v>540</v>
      </c>
      <c r="B39" s="44" t="s">
        <v>541</v>
      </c>
    </row>
    <row r="40" spans="1:2" ht="72">
      <c r="A40" s="44" t="s">
        <v>542</v>
      </c>
      <c r="B40" s="44" t="s">
        <v>543</v>
      </c>
    </row>
    <row r="41" spans="1:2" ht="57.6">
      <c r="A41" s="44" t="s">
        <v>544</v>
      </c>
      <c r="B41" s="44" t="s">
        <v>545</v>
      </c>
    </row>
    <row r="42" spans="1:2" ht="43.2">
      <c r="A42" s="44" t="s">
        <v>546</v>
      </c>
      <c r="B42" s="44" t="s">
        <v>547</v>
      </c>
    </row>
    <row r="43" spans="1:2" ht="57.6">
      <c r="A43" s="44" t="s">
        <v>548</v>
      </c>
      <c r="B43" s="44" t="s">
        <v>549</v>
      </c>
    </row>
    <row r="44" spans="1:2" ht="57.6">
      <c r="A44" s="44" t="s">
        <v>550</v>
      </c>
      <c r="B44" s="44" t="s">
        <v>551</v>
      </c>
    </row>
    <row r="47" spans="1:2" ht="22.2">
      <c r="A47" s="14" t="s">
        <v>552</v>
      </c>
    </row>
    <row r="51" spans="1:1" ht="17.399999999999999">
      <c r="A51" s="35" t="s">
        <v>553</v>
      </c>
    </row>
    <row r="53" spans="1:1">
      <c r="A53" s="19" t="e">
        <f>FIND("a","Apple")</f>
        <v>#VALUE!</v>
      </c>
    </row>
    <row r="55" spans="1:1">
      <c r="A55" s="6" t="s">
        <v>554</v>
      </c>
    </row>
    <row r="57" spans="1:1">
      <c r="A57" s="19">
        <f>FIND("A","Apple")</f>
        <v>1</v>
      </c>
    </row>
    <row r="59" spans="1:1">
      <c r="A59" s="6" t="s">
        <v>555</v>
      </c>
    </row>
    <row r="63" spans="1:1" ht="17.399999999999999">
      <c r="A63" s="35" t="s">
        <v>556</v>
      </c>
    </row>
    <row r="65" spans="1:1">
      <c r="A65" s="19">
        <f>FIND("o","Chocolate",5)</f>
        <v>5</v>
      </c>
    </row>
    <row r="67" spans="1:1">
      <c r="A67" s="6" t="s">
        <v>557</v>
      </c>
    </row>
    <row r="71" spans="1:1" ht="17.399999999999999">
      <c r="A71" s="35" t="s">
        <v>558</v>
      </c>
    </row>
    <row r="73" spans="1:1">
      <c r="A73" s="19" t="str">
        <f>LEFT(A2,FIND(" ",A2)-1)</f>
        <v>Returns</v>
      </c>
    </row>
    <row r="75" spans="1:1">
      <c r="A75" s="6" t="s">
        <v>559</v>
      </c>
    </row>
    <row r="79" spans="1:1" ht="17.399999999999999">
      <c r="A79" s="35" t="s">
        <v>560</v>
      </c>
    </row>
    <row r="81" spans="1:1">
      <c r="A81" s="19" t="str">
        <f>MID(A2,FIND(" ",A2)+1,LEN(A2))</f>
        <v>the position (as a number) of one text string inside another</v>
      </c>
    </row>
    <row r="83" spans="1:1">
      <c r="A83" s="6" t="s">
        <v>561</v>
      </c>
    </row>
    <row r="87" spans="1:1" ht="17.399999999999999">
      <c r="A87" s="35" t="s">
        <v>562</v>
      </c>
    </row>
    <row r="89" spans="1:1">
      <c r="A89" s="19" t="e">
        <f>LEFT(A2,FIND("@",A2)-1)</f>
        <v>#VALUE!</v>
      </c>
    </row>
    <row r="91" spans="1:1">
      <c r="A91" s="6" t="s">
        <v>563</v>
      </c>
    </row>
    <row r="95" spans="1:1" ht="17.399999999999999">
      <c r="A95" s="35" t="s">
        <v>564</v>
      </c>
    </row>
    <row r="97" spans="1:1">
      <c r="A97" s="19" t="e">
        <f>MID(A2,FIND("@",A2)+1,LEN(A2))</f>
        <v>#VALUE!</v>
      </c>
    </row>
    <row r="99" spans="1:1">
      <c r="A99" s="6" t="s">
        <v>565</v>
      </c>
    </row>
    <row r="103" spans="1:1" ht="17.399999999999999">
      <c r="A103" s="35" t="s">
        <v>566</v>
      </c>
    </row>
    <row r="105" spans="1:1">
      <c r="A105" s="19" t="str">
        <f>IF(ISNUMBER(FIND("apple",A2)),"Found","Not Found")</f>
        <v>Not Found</v>
      </c>
    </row>
    <row r="107" spans="1:1">
      <c r="A107" s="6" t="s">
        <v>567</v>
      </c>
    </row>
    <row r="111" spans="1:1" ht="17.399999999999999">
      <c r="A111" s="35" t="s">
        <v>568</v>
      </c>
    </row>
    <row r="113" spans="1:1">
      <c r="A113" s="19">
        <f>FIND(" ",A2,FIND(" ",A2)+1)</f>
        <v>12</v>
      </c>
    </row>
    <row r="115" spans="1:1">
      <c r="A115" s="6" t="s">
        <v>569</v>
      </c>
    </row>
    <row r="119" spans="1:1" ht="17.399999999999999">
      <c r="A119" s="35" t="s">
        <v>570</v>
      </c>
    </row>
    <row r="121" spans="1:1">
      <c r="A121" s="19" t="e">
        <f>RIGHT(A2,LEN(A2)-FIND(".",A2))</f>
        <v>#VALUE!</v>
      </c>
    </row>
    <row r="123" spans="1:1">
      <c r="A123" s="6" t="s">
        <v>571</v>
      </c>
    </row>
    <row r="127" spans="1:1" ht="17.399999999999999">
      <c r="A127" s="35" t="s">
        <v>572</v>
      </c>
    </row>
    <row r="129" spans="1:3">
      <c r="A129" s="19" t="e">
        <f>FIND("-",A2)</f>
        <v>#VALUE!</v>
      </c>
    </row>
    <row r="131" spans="1:3">
      <c r="A131" s="6" t="s">
        <v>573</v>
      </c>
    </row>
    <row r="135" spans="1:3" ht="22.2">
      <c r="A135" s="14" t="s">
        <v>574</v>
      </c>
    </row>
    <row r="137" spans="1:3">
      <c r="A137" s="43" t="s">
        <v>405</v>
      </c>
      <c r="B137" s="43" t="s">
        <v>450</v>
      </c>
      <c r="C137" s="43" t="s">
        <v>449</v>
      </c>
    </row>
    <row r="138" spans="1:3" ht="28.8">
      <c r="A138" s="44" t="s">
        <v>498</v>
      </c>
      <c r="B138" s="44" t="s">
        <v>453</v>
      </c>
      <c r="C138" s="44" t="s">
        <v>452</v>
      </c>
    </row>
    <row r="139" spans="1:3" ht="28.8">
      <c r="A139" s="44" t="s">
        <v>455</v>
      </c>
      <c r="B139" s="44" t="s">
        <v>452</v>
      </c>
      <c r="C139" s="44" t="s">
        <v>453</v>
      </c>
    </row>
    <row r="140" spans="1:3" ht="28.8">
      <c r="A140" s="44" t="s">
        <v>575</v>
      </c>
      <c r="B140" s="44" t="s">
        <v>576</v>
      </c>
      <c r="C140" s="44" t="s">
        <v>576</v>
      </c>
    </row>
    <row r="141" spans="1:3" ht="28.8">
      <c r="A141" s="44" t="s">
        <v>577</v>
      </c>
      <c r="B141" s="44" t="s">
        <v>453</v>
      </c>
      <c r="C141" s="44" t="s">
        <v>453</v>
      </c>
    </row>
    <row r="144" spans="1:3" ht="22.2">
      <c r="A144" s="14" t="s">
        <v>578</v>
      </c>
    </row>
    <row r="146" spans="1:2">
      <c r="A146" s="43" t="s">
        <v>405</v>
      </c>
      <c r="B146" s="43" t="s">
        <v>397</v>
      </c>
    </row>
    <row r="147" spans="1:2" ht="57.6">
      <c r="A147" s="44" t="s">
        <v>579</v>
      </c>
      <c r="B147" s="44" t="s">
        <v>580</v>
      </c>
    </row>
    <row r="148" spans="1:2" ht="57.6">
      <c r="A148" s="44" t="s">
        <v>581</v>
      </c>
      <c r="B148" s="44" t="s">
        <v>582</v>
      </c>
    </row>
    <row r="149" spans="1:2" ht="43.2">
      <c r="A149" s="44" t="s">
        <v>583</v>
      </c>
      <c r="B149" s="44" t="s">
        <v>584</v>
      </c>
    </row>
    <row r="150" spans="1:2" ht="43.2">
      <c r="A150" s="44" t="s">
        <v>585</v>
      </c>
      <c r="B150" s="44" t="s">
        <v>586</v>
      </c>
    </row>
    <row r="151" spans="1:2" ht="57.6">
      <c r="A151" s="44" t="s">
        <v>587</v>
      </c>
      <c r="B151" s="44" t="s">
        <v>588</v>
      </c>
    </row>
    <row r="154" spans="1:2">
      <c r="A154" s="6"/>
    </row>
  </sheetData>
  <mergeCells count="2">
    <mergeCell ref="A1:E1"/>
    <mergeCell ref="A2:H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F12"/>
  <sheetViews>
    <sheetView workbookViewId="0">
      <selection activeCell="H7" sqref="H7"/>
    </sheetView>
  </sheetViews>
  <sheetFormatPr defaultColWidth="9" defaultRowHeight="14.4"/>
  <cols>
    <col min="1" max="1" width="15.21875" customWidth="1"/>
    <col min="2" max="2" width="28.77734375" customWidth="1"/>
  </cols>
  <sheetData>
    <row r="2" spans="1:6">
      <c r="A2" s="6" t="s">
        <v>6</v>
      </c>
      <c r="B2" s="6" t="s">
        <v>589</v>
      </c>
    </row>
    <row r="3" spans="1:6">
      <c r="A3">
        <v>14</v>
      </c>
      <c r="B3">
        <v>51</v>
      </c>
      <c r="D3" cm="1">
        <f t="array" ref="D3">INDEX($A$3:$A$9,ROWS(A3:$A$9))</f>
        <v>51</v>
      </c>
      <c r="E3">
        <v>14</v>
      </c>
      <c r="F3" cm="1">
        <f t="array" ref="F3">INDEX($A$3:$A$9,ROWS(A3:$A$9))</f>
        <v>51</v>
      </c>
    </row>
    <row r="4" spans="1:6">
      <c r="A4">
        <v>217</v>
      </c>
      <c r="B4">
        <v>151</v>
      </c>
      <c r="D4" cm="1">
        <f t="array" ref="D4">INDEX($A$3:$A$9,ROWS(A4:$A$9))</f>
        <v>151</v>
      </c>
      <c r="E4">
        <v>151</v>
      </c>
      <c r="F4" cm="1">
        <f t="array" ref="F4">INDEX($A$3:$A$9,ROWS(A4:$A$9))</f>
        <v>151</v>
      </c>
    </row>
    <row r="5" spans="1:6">
      <c r="A5">
        <v>416</v>
      </c>
      <c r="B5">
        <v>123</v>
      </c>
      <c r="D5" cm="1">
        <f t="array" ref="D5">INDEX($A$3:$A$9,ROWS(A5:$A$9))</f>
        <v>123</v>
      </c>
      <c r="F5" cm="1">
        <f t="array" ref="F5">INDEX($A$3:$A$9,ROWS(A5:$A$9))</f>
        <v>123</v>
      </c>
    </row>
    <row r="6" spans="1:6">
      <c r="A6">
        <v>413</v>
      </c>
      <c r="B6">
        <v>413</v>
      </c>
      <c r="D6" cm="1">
        <f t="array" ref="D6">INDEX($A$3:$A$9,ROWS(A6:$A$9))</f>
        <v>413</v>
      </c>
      <c r="F6" cm="1">
        <f t="array" ref="F6">INDEX($A$3:$A$9,ROWS(A6:$A$9))</f>
        <v>413</v>
      </c>
    </row>
    <row r="7" spans="1:6">
      <c r="A7">
        <v>123</v>
      </c>
      <c r="B7">
        <v>416</v>
      </c>
      <c r="D7" cm="1">
        <f t="array" ref="D7">INDEX($A$3:$A$9,ROWS(A7:$A$9))</f>
        <v>416</v>
      </c>
      <c r="F7" cm="1">
        <f t="array" ref="F7">INDEX($A$3:$A$9,ROWS(A7:$A$9))</f>
        <v>416</v>
      </c>
    </row>
    <row r="8" spans="1:6">
      <c r="A8">
        <v>151</v>
      </c>
      <c r="B8">
        <v>217</v>
      </c>
      <c r="D8" cm="1">
        <f t="array" ref="D8">INDEX($A$3:$A$9,ROWS(A8:$A$9))</f>
        <v>217</v>
      </c>
      <c r="F8" cm="1">
        <f t="array" ref="F8">INDEX($A$3:$A$9,ROWS(A8:$A$9))</f>
        <v>217</v>
      </c>
    </row>
    <row r="9" spans="1:6">
      <c r="A9">
        <v>51</v>
      </c>
      <c r="B9">
        <v>14</v>
      </c>
      <c r="D9" cm="1">
        <f t="array" ref="D9">INDEX($A$3:$A$9,ROWS(A9:$A$9))</f>
        <v>14</v>
      </c>
      <c r="F9" cm="1">
        <f t="array" ref="F9">INDEX($A$3:$A$9,ROWS(A9:$A$9))</f>
        <v>14</v>
      </c>
    </row>
    <row r="11" spans="1:6">
      <c r="B11" s="6" t="s">
        <v>590</v>
      </c>
    </row>
    <row r="12" spans="1:6">
      <c r="B12" s="6" t="s">
        <v>591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1"/>
  <sheetViews>
    <sheetView workbookViewId="0">
      <selection activeCell="B3" sqref="B3"/>
    </sheetView>
  </sheetViews>
  <sheetFormatPr defaultColWidth="9" defaultRowHeight="14.4"/>
  <cols>
    <col min="1" max="1" width="36.88671875" customWidth="1"/>
    <col min="2" max="2" width="20.44140625" customWidth="1"/>
    <col min="3" max="3" width="19.5546875" customWidth="1"/>
  </cols>
  <sheetData>
    <row r="1" spans="1:3">
      <c r="A1" s="6" t="s">
        <v>592</v>
      </c>
      <c r="B1" s="6" t="s">
        <v>593</v>
      </c>
      <c r="C1" s="6" t="s">
        <v>594</v>
      </c>
    </row>
    <row r="2" spans="1:3">
      <c r="A2" s="64" t="s">
        <v>595</v>
      </c>
      <c r="B2" t="str" cm="1">
        <f t="array" ref="B2:B7">TRIM(_xlfn.REDUCE(A2:A7,C2:C11,_xlfn.LAMBDA(_xlpm.I,_xlpm.u,SUBSTITUTE(_xlpm.I,_xlpm.u," "))))</f>
        <v>John Doe</v>
      </c>
      <c r="C2" s="6" t="s">
        <v>596</v>
      </c>
    </row>
    <row r="3" spans="1:3">
      <c r="A3" s="6" t="s">
        <v>597</v>
      </c>
      <c r="B3" t="str">
        <v>Alice Smiths</v>
      </c>
      <c r="C3" s="6" t="s">
        <v>141</v>
      </c>
    </row>
    <row r="4" spans="1:3">
      <c r="A4" s="6" t="s">
        <v>598</v>
      </c>
      <c r="B4" t="str">
        <v>Bob ohnson</v>
      </c>
      <c r="C4" s="6" t="s">
        <v>599</v>
      </c>
    </row>
    <row r="5" spans="1:3">
      <c r="A5" s="6" t="s">
        <v>600</v>
      </c>
      <c r="B5" t="str">
        <v>Emily$Johnson</v>
      </c>
      <c r="C5" s="6" t="s">
        <v>601</v>
      </c>
    </row>
    <row r="6" spans="1:3">
      <c r="A6" s="64" t="s">
        <v>602</v>
      </c>
      <c r="B6" t="str">
        <v>Michael Brown</v>
      </c>
      <c r="C6" s="6" t="s">
        <v>599</v>
      </c>
    </row>
    <row r="7" spans="1:3">
      <c r="A7" s="6" t="s">
        <v>603</v>
      </c>
      <c r="B7" t="str">
        <v>Sarah Clark</v>
      </c>
      <c r="C7" s="6" t="s">
        <v>359</v>
      </c>
    </row>
    <row r="8" spans="1:3">
      <c r="C8" s="6" t="s">
        <v>604</v>
      </c>
    </row>
    <row r="9" spans="1:3">
      <c r="C9" s="6" t="s">
        <v>605</v>
      </c>
    </row>
    <row r="10" spans="1:3">
      <c r="C10" s="6" t="s">
        <v>606</v>
      </c>
    </row>
    <row r="11" spans="1:3">
      <c r="C11" s="6" t="s">
        <v>607</v>
      </c>
    </row>
  </sheetData>
  <hyperlinks>
    <hyperlink ref="A2" r:id="rId1" xr:uid="{00000000-0004-0000-1700-000000000000}"/>
    <hyperlink ref="A6" r:id="rId2" xr:uid="{00000000-0004-0000-17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99"/>
  <sheetViews>
    <sheetView workbookViewId="0">
      <selection activeCell="D4" sqref="D4"/>
    </sheetView>
  </sheetViews>
  <sheetFormatPr defaultColWidth="9" defaultRowHeight="14.4"/>
  <cols>
    <col min="1" max="4" width="21" customWidth="1"/>
  </cols>
  <sheetData>
    <row r="1" spans="1:8" ht="28.2">
      <c r="A1" s="164" t="s">
        <v>608</v>
      </c>
      <c r="B1" s="164"/>
      <c r="C1" s="164"/>
      <c r="D1" s="164"/>
      <c r="E1" s="164"/>
      <c r="F1" s="164"/>
      <c r="G1" s="164"/>
      <c r="H1" s="164"/>
    </row>
    <row r="2" spans="1:8">
      <c r="A2" s="60" t="s">
        <v>609</v>
      </c>
      <c r="B2" s="60" t="s">
        <v>287</v>
      </c>
      <c r="C2" s="60" t="s">
        <v>610</v>
      </c>
      <c r="D2" s="60" t="s">
        <v>611</v>
      </c>
      <c r="E2" s="61"/>
      <c r="F2" s="9"/>
      <c r="G2" s="9"/>
      <c r="H2" s="9"/>
    </row>
    <row r="3" spans="1:8">
      <c r="A3" s="49" t="s">
        <v>612</v>
      </c>
      <c r="B3" s="62">
        <v>18500</v>
      </c>
      <c r="C3" s="63">
        <v>0.1</v>
      </c>
      <c r="D3" s="9" cm="1">
        <f t="array" ref="D3">_xlfn.LAMBDA(_xlpm.price,_xlpm.discount,_xlpm.price*(1-_xlpm.discount))(B3,C3)</f>
        <v>16650</v>
      </c>
    </row>
    <row r="4" spans="1:8">
      <c r="A4" s="49" t="s">
        <v>613</v>
      </c>
      <c r="B4" s="62">
        <v>29000</v>
      </c>
      <c r="C4" s="63">
        <v>0.25</v>
      </c>
      <c r="D4" s="9"/>
    </row>
    <row r="5" spans="1:8">
      <c r="A5" s="49" t="s">
        <v>614</v>
      </c>
      <c r="B5" s="62">
        <v>1500</v>
      </c>
      <c r="C5" s="63">
        <v>0.2</v>
      </c>
      <c r="D5" s="9"/>
    </row>
    <row r="6" spans="1:8">
      <c r="A6" s="49" t="s">
        <v>615</v>
      </c>
      <c r="B6" s="62">
        <v>6500</v>
      </c>
      <c r="C6" s="63">
        <v>0.25</v>
      </c>
      <c r="D6" s="9"/>
    </row>
    <row r="7" spans="1:8">
      <c r="A7" s="49" t="s">
        <v>293</v>
      </c>
      <c r="B7" s="62">
        <v>26000</v>
      </c>
      <c r="C7" s="63">
        <v>0.05</v>
      </c>
      <c r="D7" s="9"/>
    </row>
    <row r="8" spans="1:8">
      <c r="A8" s="49" t="s">
        <v>616</v>
      </c>
      <c r="B8" s="62">
        <v>2700</v>
      </c>
      <c r="C8" s="63">
        <v>0.05</v>
      </c>
      <c r="D8" s="9"/>
    </row>
    <row r="9" spans="1:8">
      <c r="A9" s="49" t="s">
        <v>617</v>
      </c>
      <c r="B9" s="62">
        <v>64000</v>
      </c>
      <c r="C9" s="63">
        <v>0.05</v>
      </c>
      <c r="D9" s="9"/>
    </row>
    <row r="10" spans="1:8">
      <c r="A10" s="49" t="s">
        <v>618</v>
      </c>
      <c r="B10" s="62">
        <v>40000</v>
      </c>
      <c r="C10" s="63">
        <v>0.4</v>
      </c>
      <c r="D10" s="9"/>
    </row>
    <row r="11" spans="1:8">
      <c r="A11" s="49" t="s">
        <v>619</v>
      </c>
      <c r="B11" s="62">
        <v>57000</v>
      </c>
      <c r="C11" s="63">
        <v>0.25</v>
      </c>
      <c r="D11" s="9"/>
    </row>
    <row r="12" spans="1:8">
      <c r="A12" s="49" t="s">
        <v>620</v>
      </c>
      <c r="B12" s="62">
        <v>25000</v>
      </c>
      <c r="C12" s="63">
        <v>0.05</v>
      </c>
      <c r="D12" s="9"/>
    </row>
    <row r="13" spans="1:8">
      <c r="A13" s="49" t="s">
        <v>621</v>
      </c>
      <c r="B13" s="62">
        <v>28000</v>
      </c>
      <c r="C13" s="63">
        <v>0.1</v>
      </c>
      <c r="D13" s="9"/>
    </row>
    <row r="31" spans="1:1">
      <c r="A31" s="6" t="s">
        <v>622</v>
      </c>
    </row>
    <row r="33" spans="1:1">
      <c r="A33" s="6" t="s">
        <v>623</v>
      </c>
    </row>
    <row r="37" spans="1:1" ht="22.2">
      <c r="A37" s="14" t="s">
        <v>624</v>
      </c>
    </row>
    <row r="39" spans="1:1" ht="17.399999999999999">
      <c r="A39" s="35" t="s">
        <v>625</v>
      </c>
    </row>
    <row r="41" spans="1:1">
      <c r="A41" s="19" t="s">
        <v>626</v>
      </c>
    </row>
    <row r="42" spans="1:1">
      <c r="A42" s="15"/>
    </row>
    <row r="43" spans="1:1">
      <c r="A43" s="17" t="s">
        <v>627</v>
      </c>
    </row>
    <row r="44" spans="1:1">
      <c r="A44" s="15"/>
    </row>
    <row r="45" spans="1:1">
      <c r="A45" s="17" t="s">
        <v>628</v>
      </c>
    </row>
    <row r="46" spans="1:1">
      <c r="A46" s="15"/>
    </row>
    <row r="47" spans="1:1">
      <c r="A47" s="17" t="s">
        <v>629</v>
      </c>
    </row>
    <row r="48" spans="1:1">
      <c r="A48" s="15"/>
    </row>
    <row r="49" spans="1:2">
      <c r="A49" s="17" t="s">
        <v>630</v>
      </c>
    </row>
    <row r="53" spans="1:2" ht="22.2">
      <c r="A53" s="14" t="s">
        <v>631</v>
      </c>
    </row>
    <row r="55" spans="1:2">
      <c r="A55" s="43" t="s">
        <v>405</v>
      </c>
      <c r="B55" s="43" t="s">
        <v>397</v>
      </c>
    </row>
    <row r="56" spans="1:2" ht="43.2">
      <c r="A56" s="44" t="s">
        <v>632</v>
      </c>
      <c r="B56" s="44" t="s">
        <v>633</v>
      </c>
    </row>
    <row r="57" spans="1:2" ht="43.2">
      <c r="A57" s="44" t="s">
        <v>634</v>
      </c>
      <c r="B57" s="44" t="s">
        <v>635</v>
      </c>
    </row>
    <row r="58" spans="1:2" ht="43.2">
      <c r="A58" s="44" t="s">
        <v>636</v>
      </c>
      <c r="B58" s="44" t="s">
        <v>637</v>
      </c>
    </row>
    <row r="59" spans="1:2" ht="43.2">
      <c r="A59" s="44" t="s">
        <v>638</v>
      </c>
      <c r="B59" s="44" t="s">
        <v>639</v>
      </c>
    </row>
    <row r="60" spans="1:2" ht="28.8">
      <c r="A60" s="44" t="s">
        <v>640</v>
      </c>
      <c r="B60" s="44" t="s">
        <v>641</v>
      </c>
    </row>
    <row r="61" spans="1:2" ht="43.2">
      <c r="A61" s="44" t="s">
        <v>642</v>
      </c>
      <c r="B61" s="44" t="s">
        <v>643</v>
      </c>
    </row>
    <row r="62" spans="1:2" ht="28.8">
      <c r="A62" s="44" t="s">
        <v>644</v>
      </c>
      <c r="B62" s="44" t="s">
        <v>645</v>
      </c>
    </row>
    <row r="65" spans="1:1" ht="22.2">
      <c r="A65" s="14" t="s">
        <v>646</v>
      </c>
    </row>
    <row r="69" spans="1:1" ht="17.399999999999999">
      <c r="A69" s="35" t="s">
        <v>647</v>
      </c>
    </row>
    <row r="71" spans="1:1">
      <c r="A71" s="19" cm="1">
        <f t="array" ref="A71">_xlfn.LAMBDA(_xlpm.x,_xlpm.x^2)(5)</f>
        <v>25</v>
      </c>
    </row>
    <row r="73" spans="1:1">
      <c r="A73" s="6" t="s">
        <v>648</v>
      </c>
    </row>
    <row r="74" spans="1:1">
      <c r="A74" s="6" t="s">
        <v>649</v>
      </c>
    </row>
    <row r="78" spans="1:1" ht="17.399999999999999">
      <c r="A78" s="35" t="s">
        <v>650</v>
      </c>
    </row>
    <row r="80" spans="1:1">
      <c r="A80" s="19" cm="1">
        <f t="array" ref="A80">_xlfn.LAMBDA(_xlpm.a,_xlpm.b,_xlpm.a+_xlpm.b)(10,15)</f>
        <v>25</v>
      </c>
    </row>
    <row r="82" spans="1:1">
      <c r="A82" s="6" t="s">
        <v>648</v>
      </c>
    </row>
    <row r="86" spans="1:1" ht="17.399999999999999">
      <c r="A86" s="35" t="s">
        <v>651</v>
      </c>
    </row>
    <row r="87" spans="1:1">
      <c r="A87" s="15"/>
    </row>
    <row r="88" spans="1:1">
      <c r="A88" s="17" t="s">
        <v>652</v>
      </c>
    </row>
    <row r="89" spans="1:1">
      <c r="A89" s="15"/>
    </row>
    <row r="90" spans="1:1">
      <c r="A90" s="17" t="s">
        <v>653</v>
      </c>
    </row>
    <row r="91" spans="1:1">
      <c r="A91" s="15"/>
    </row>
    <row r="92" spans="1:1">
      <c r="A92" s="17" t="s">
        <v>654</v>
      </c>
    </row>
    <row r="94" spans="1:1">
      <c r="A94" s="19" t="e" cm="1" vm="3">
        <f t="array" ref="A94">_xlfn.LAMBDA(_xlpm.price,_xlpm.rate,_xlpm.price*_xlpm.rate)</f>
        <v>#VALUE!</v>
      </c>
    </row>
    <row r="96" spans="1:1">
      <c r="A96" s="6" t="s">
        <v>655</v>
      </c>
    </row>
    <row r="98" spans="1:1">
      <c r="A98" s="19" t="e" cm="1">
        <f t="array" aca="1" ref="A98" ca="1">CalculateTax(1000,0.18)</f>
        <v>#NAME?</v>
      </c>
    </row>
    <row r="100" spans="1:1">
      <c r="A100" s="6" t="s">
        <v>656</v>
      </c>
    </row>
    <row r="104" spans="1:1" ht="17.399999999999999">
      <c r="A104" s="35" t="s">
        <v>657</v>
      </c>
    </row>
    <row r="106" spans="1:1">
      <c r="A106" s="19" cm="1">
        <f t="array" ref="A106">_xlfn.LAMBDA(_xlpm.x,_xlfn.LET(_xlpm.square,_xlpm.x^2,_xlpm.square))(6)</f>
        <v>36</v>
      </c>
    </row>
    <row r="108" spans="1:1">
      <c r="A108" s="6" t="s">
        <v>658</v>
      </c>
    </row>
    <row r="112" spans="1:1" ht="17.399999999999999">
      <c r="A112" s="35" t="s">
        <v>659</v>
      </c>
    </row>
    <row r="114" spans="1:1">
      <c r="A114" s="19" cm="1">
        <f t="array" ref="A114">_xlfn.LAMBDA(_xlpm.a,_xlpm.b,_xlpm.c,(_xlpm.a+_xlpm.b+_xlpm.c)/3)(10,20,30)</f>
        <v>20</v>
      </c>
    </row>
    <row r="116" spans="1:1">
      <c r="A116" s="6" t="s">
        <v>660</v>
      </c>
    </row>
    <row r="120" spans="1:1" ht="17.399999999999999">
      <c r="A120" s="35" t="s">
        <v>661</v>
      </c>
    </row>
    <row r="122" spans="1:1">
      <c r="A122" s="19" t="str" cm="1">
        <f t="array" ref="A122">_xlfn.LAMBDA(_xlpm.x,IF(MOD(_xlpm.x,2)=0,"Even","Odd"))(7)</f>
        <v>Odd</v>
      </c>
    </row>
    <row r="124" spans="1:1">
      <c r="A124" s="6" t="s">
        <v>662</v>
      </c>
    </row>
    <row r="128" spans="1:1" ht="17.399999999999999">
      <c r="A128" s="35" t="s">
        <v>663</v>
      </c>
    </row>
    <row r="130" spans="1:1">
      <c r="A130" s="19" t="str" cm="1">
        <f t="array" ref="A130">_xlfn.LAMBDA(_xlpm.x,TEXT(_xlpm.x,"$#,##0.00"))(2500)</f>
        <v>$2,500.00</v>
      </c>
    </row>
    <row r="132" spans="1:1">
      <c r="A132" s="6" t="s">
        <v>664</v>
      </c>
    </row>
    <row r="136" spans="1:1" ht="17.399999999999999">
      <c r="A136" s="35" t="s">
        <v>665</v>
      </c>
    </row>
    <row r="138" spans="1:1">
      <c r="A138" s="6" t="s">
        <v>666</v>
      </c>
    </row>
    <row r="139" spans="1:1">
      <c r="A139" s="6" t="s">
        <v>667</v>
      </c>
    </row>
    <row r="140" spans="1:1">
      <c r="A140" s="6" t="s">
        <v>668</v>
      </c>
    </row>
    <row r="142" spans="1:1">
      <c r="A142" s="19" t="e" cm="1" vm="3">
        <f t="array" ref="A142">_xlfn.LAMBDA(_xlpm.n,IF(_xlpm.n=1,1,_xlpm.n*Factorial(_xlpm.n-1)))</f>
        <v>#VALUE!</v>
      </c>
    </row>
    <row r="144" spans="1:1">
      <c r="A144" s="6" t="s">
        <v>669</v>
      </c>
    </row>
    <row r="146" spans="1:1">
      <c r="A146" s="19" t="e" cm="1">
        <f t="array" aca="1" ref="A146" ca="1">Factorial(5)</f>
        <v>#NAME?</v>
      </c>
    </row>
    <row r="148" spans="1:1">
      <c r="A148" s="6" t="s">
        <v>670</v>
      </c>
    </row>
    <row r="152" spans="1:1" ht="17.399999999999999">
      <c r="A152" s="35" t="s">
        <v>671</v>
      </c>
    </row>
    <row r="154" spans="1:1">
      <c r="A154" s="19" t="str" cm="1">
        <f t="array" ref="A154">_xlfn.LAMBDA(_xlpm.score,IF(_xlpm.score&gt;=50,"Pass","Fail"))(42)</f>
        <v>Fail</v>
      </c>
    </row>
    <row r="156" spans="1:1">
      <c r="A156" s="6" t="s">
        <v>672</v>
      </c>
    </row>
    <row r="160" spans="1:1" ht="17.399999999999999">
      <c r="A160" s="35" t="s">
        <v>673</v>
      </c>
    </row>
    <row r="162" spans="1:1">
      <c r="A162" s="19" cm="1">
        <f t="array" ref="A162">_xlfn.LAMBDA(_xlpm.old,_xlpm.new,(_xlpm.new-_xlpm.old)/_xlpm.old)(100,120)</f>
        <v>0.2</v>
      </c>
    </row>
    <row r="164" spans="1:1">
      <c r="A164" s="6" t="s">
        <v>674</v>
      </c>
    </row>
    <row r="168" spans="1:1" ht="22.2">
      <c r="A168" s="14" t="s">
        <v>675</v>
      </c>
    </row>
    <row r="169" spans="1:1">
      <c r="A169" s="15"/>
    </row>
    <row r="170" spans="1:1">
      <c r="A170" s="16" t="s">
        <v>676</v>
      </c>
    </row>
    <row r="171" spans="1:1">
      <c r="A171" s="15"/>
    </row>
    <row r="172" spans="1:1">
      <c r="A172" s="16" t="s">
        <v>677</v>
      </c>
    </row>
    <row r="173" spans="1:1">
      <c r="A173" s="15"/>
    </row>
    <row r="174" spans="1:1">
      <c r="A174" s="16" t="s">
        <v>678</v>
      </c>
    </row>
    <row r="176" spans="1:1">
      <c r="A176" s="19" t="e" cm="1" vm="3">
        <f t="array" ref="A176">_xlfn.LAMBDA(_xlpm.x,_xlpm.x^2+5*_xlpm.x+10)</f>
        <v>#VALUE!</v>
      </c>
    </row>
    <row r="177" spans="1:2">
      <c r="A177" s="15"/>
    </row>
    <row r="178" spans="1:2">
      <c r="A178" s="17" t="s">
        <v>679</v>
      </c>
    </row>
    <row r="180" spans="1:2">
      <c r="A180" s="19" t="e" cm="1">
        <f t="array" aca="1" ref="A180" ca="1">MyFunction(3)</f>
        <v>#NAME?</v>
      </c>
    </row>
    <row r="184" spans="1:2" ht="22.2">
      <c r="A184" s="14" t="s">
        <v>680</v>
      </c>
    </row>
    <row r="186" spans="1:2">
      <c r="A186" s="43" t="s">
        <v>405</v>
      </c>
      <c r="B186" s="43" t="s">
        <v>681</v>
      </c>
    </row>
    <row r="187" spans="1:2">
      <c r="A187" s="44" t="s">
        <v>682</v>
      </c>
      <c r="B187" s="44" t="s">
        <v>453</v>
      </c>
    </row>
    <row r="188" spans="1:2" ht="28.8">
      <c r="A188" s="44" t="s">
        <v>683</v>
      </c>
      <c r="B188" s="44" t="s">
        <v>453</v>
      </c>
    </row>
    <row r="189" spans="1:2">
      <c r="A189" s="44" t="s">
        <v>684</v>
      </c>
      <c r="B189" s="44" t="s">
        <v>453</v>
      </c>
    </row>
    <row r="190" spans="1:2">
      <c r="A190" s="44" t="s">
        <v>685</v>
      </c>
      <c r="B190" s="44" t="s">
        <v>453</v>
      </c>
    </row>
    <row r="191" spans="1:2">
      <c r="A191" s="44" t="s">
        <v>686</v>
      </c>
      <c r="B191" s="44" t="s">
        <v>453</v>
      </c>
    </row>
    <row r="192" spans="1:2">
      <c r="A192" s="44" t="s">
        <v>687</v>
      </c>
      <c r="B192" s="44" t="s">
        <v>453</v>
      </c>
    </row>
    <row r="193" spans="1:2" ht="28.8">
      <c r="A193" s="44" t="s">
        <v>688</v>
      </c>
      <c r="B193" s="44" t="s">
        <v>689</v>
      </c>
    </row>
    <row r="194" spans="1:2" ht="28.8">
      <c r="A194" s="44" t="s">
        <v>690</v>
      </c>
      <c r="B194" s="44" t="s">
        <v>691</v>
      </c>
    </row>
    <row r="197" spans="1:2" ht="22.2">
      <c r="A197" s="14"/>
    </row>
    <row r="199" spans="1:2">
      <c r="A199" s="6"/>
    </row>
  </sheetData>
  <mergeCells count="1">
    <mergeCell ref="A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3"/>
  <sheetViews>
    <sheetView workbookViewId="0">
      <selection activeCell="H24" sqref="H24"/>
    </sheetView>
  </sheetViews>
  <sheetFormatPr defaultColWidth="9" defaultRowHeight="14.4"/>
  <sheetData>
    <row r="1" spans="1:4">
      <c r="A1" s="59" t="s">
        <v>692</v>
      </c>
      <c r="B1" s="59" t="s">
        <v>693</v>
      </c>
      <c r="C1" s="59" t="s">
        <v>694</v>
      </c>
      <c r="D1" s="40" t="s">
        <v>189</v>
      </c>
    </row>
    <row r="2" spans="1:4">
      <c r="A2" s="42" t="s">
        <v>381</v>
      </c>
      <c r="B2" s="42" t="s">
        <v>695</v>
      </c>
      <c r="C2" s="42" t="s">
        <v>696</v>
      </c>
      <c r="D2" s="9" t="str">
        <f>_xlfn.CONCAT(A2:C2)</f>
        <v>ABC</v>
      </c>
    </row>
    <row r="3" spans="1:4">
      <c r="A3" s="42">
        <v>1</v>
      </c>
      <c r="B3" s="42">
        <v>2</v>
      </c>
      <c r="C3" s="42">
        <v>3</v>
      </c>
      <c r="D3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3"/>
  <sheetViews>
    <sheetView topLeftCell="D1" workbookViewId="0">
      <selection activeCell="I13" sqref="I13"/>
    </sheetView>
  </sheetViews>
  <sheetFormatPr defaultColWidth="9" defaultRowHeight="14.4"/>
  <cols>
    <col min="8" max="8" width="13.21875" customWidth="1"/>
    <col min="9" max="9" width="14.109375" customWidth="1"/>
    <col min="10" max="10" width="12.88671875" customWidth="1"/>
    <col min="11" max="11" width="17.88671875" customWidth="1"/>
    <col min="12" max="12" width="15.21875" customWidth="1"/>
  </cols>
  <sheetData>
    <row r="1" spans="1:12">
      <c r="A1" s="165" t="s">
        <v>697</v>
      </c>
      <c r="B1" s="165"/>
      <c r="C1" s="165"/>
      <c r="D1" s="165"/>
      <c r="E1" s="165"/>
      <c r="F1" s="165"/>
      <c r="H1" s="57" t="s">
        <v>698</v>
      </c>
      <c r="I1" s="57" t="s">
        <v>4</v>
      </c>
      <c r="J1" s="57" t="s">
        <v>699</v>
      </c>
      <c r="K1" s="57" t="s">
        <v>700</v>
      </c>
      <c r="L1" s="57" t="s">
        <v>701</v>
      </c>
    </row>
    <row r="2" spans="1:12">
      <c r="A2" s="165"/>
      <c r="B2" s="165"/>
      <c r="C2" s="165"/>
      <c r="D2" s="165"/>
      <c r="E2" s="165"/>
      <c r="F2" s="165"/>
      <c r="H2" s="42">
        <v>1</v>
      </c>
      <c r="I2" s="49" t="s">
        <v>702</v>
      </c>
      <c r="J2" s="9">
        <v>10</v>
      </c>
      <c r="K2" s="12" t="s">
        <v>381</v>
      </c>
      <c r="L2" s="12" t="s">
        <v>703</v>
      </c>
    </row>
    <row r="3" spans="1:12">
      <c r="B3" s="58" t="s">
        <v>704</v>
      </c>
      <c r="C3" s="58" t="s">
        <v>705</v>
      </c>
      <c r="E3" s="58" t="s">
        <v>704</v>
      </c>
      <c r="F3" s="58" t="s">
        <v>705</v>
      </c>
      <c r="H3" s="42">
        <v>2</v>
      </c>
      <c r="I3" s="49" t="s">
        <v>706</v>
      </c>
      <c r="J3" s="9">
        <v>11</v>
      </c>
      <c r="K3" s="12" t="s">
        <v>695</v>
      </c>
      <c r="L3" s="12" t="s">
        <v>707</v>
      </c>
    </row>
    <row r="4" spans="1:12">
      <c r="B4" s="42">
        <v>1</v>
      </c>
      <c r="C4" s="49" t="s">
        <v>382</v>
      </c>
      <c r="E4" s="9">
        <v>3</v>
      </c>
      <c r="F4" s="9" t="str">
        <f>CHOOSE(E4,C4,C5,C6,C7,C8)</f>
        <v>Mango</v>
      </c>
      <c r="H4" s="42">
        <v>3</v>
      </c>
      <c r="I4" s="49" t="s">
        <v>708</v>
      </c>
      <c r="J4" s="9">
        <v>11</v>
      </c>
      <c r="K4" s="12" t="s">
        <v>696</v>
      </c>
      <c r="L4" s="12" t="s">
        <v>709</v>
      </c>
    </row>
    <row r="5" spans="1:12">
      <c r="B5" s="42">
        <v>2</v>
      </c>
      <c r="C5" s="49" t="s">
        <v>710</v>
      </c>
      <c r="H5" s="42">
        <v>4</v>
      </c>
      <c r="I5" s="49" t="s">
        <v>711</v>
      </c>
      <c r="J5" s="9">
        <v>10</v>
      </c>
      <c r="K5" s="12" t="s">
        <v>381</v>
      </c>
      <c r="L5" s="12" t="s">
        <v>707</v>
      </c>
    </row>
    <row r="6" spans="1:12">
      <c r="B6" s="42">
        <v>3</v>
      </c>
      <c r="C6" s="49" t="s">
        <v>712</v>
      </c>
      <c r="H6" s="42">
        <v>5</v>
      </c>
      <c r="I6" s="49" t="s">
        <v>713</v>
      </c>
      <c r="J6" s="9">
        <v>11</v>
      </c>
      <c r="K6" s="12" t="s">
        <v>695</v>
      </c>
      <c r="L6" s="12" t="s">
        <v>709</v>
      </c>
    </row>
    <row r="7" spans="1:12">
      <c r="B7" s="42">
        <v>4</v>
      </c>
      <c r="C7" s="49" t="s">
        <v>714</v>
      </c>
      <c r="H7" s="42">
        <v>6</v>
      </c>
      <c r="I7" s="49" t="s">
        <v>715</v>
      </c>
      <c r="J7" s="9">
        <v>11</v>
      </c>
      <c r="K7" s="12" t="s">
        <v>695</v>
      </c>
      <c r="L7" s="12" t="s">
        <v>703</v>
      </c>
    </row>
    <row r="8" spans="1:12">
      <c r="B8" s="42">
        <v>5</v>
      </c>
      <c r="C8" s="49" t="s">
        <v>256</v>
      </c>
      <c r="H8" s="42">
        <v>7</v>
      </c>
      <c r="I8" s="49" t="s">
        <v>716</v>
      </c>
      <c r="J8" s="9">
        <v>11</v>
      </c>
      <c r="K8" s="12" t="s">
        <v>381</v>
      </c>
      <c r="L8" s="12" t="s">
        <v>717</v>
      </c>
    </row>
    <row r="9" spans="1:12">
      <c r="H9" s="42">
        <v>8</v>
      </c>
      <c r="I9" s="49" t="s">
        <v>718</v>
      </c>
      <c r="J9" s="9">
        <v>10</v>
      </c>
      <c r="K9" s="12" t="s">
        <v>719</v>
      </c>
      <c r="L9" s="12" t="s">
        <v>720</v>
      </c>
    </row>
    <row r="12" spans="1:12">
      <c r="H12" s="57" t="s">
        <v>698</v>
      </c>
      <c r="I12" t="str">
        <f>CHOOSE(I13,I2,I3,I4,I5,I6,I7,I8,I9,,)</f>
        <v>Shweta</v>
      </c>
    </row>
    <row r="13" spans="1:12">
      <c r="H13" s="57" t="s">
        <v>4</v>
      </c>
      <c r="I13">
        <v>4</v>
      </c>
    </row>
  </sheetData>
  <mergeCells count="1">
    <mergeCell ref="A1:F2"/>
  </mergeCells>
  <dataValidations count="1">
    <dataValidation type="list" allowBlank="1" showInputMessage="1" showErrorMessage="1" sqref="E4" xr:uid="{00000000-0002-0000-1A00-000000000000}">
      <formula1>$B$4:$B$8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60"/>
  <sheetViews>
    <sheetView workbookViewId="0">
      <selection activeCell="H11" sqref="H11"/>
    </sheetView>
  </sheetViews>
  <sheetFormatPr defaultColWidth="9" defaultRowHeight="14.4"/>
  <cols>
    <col min="1" max="3" width="31.109375" customWidth="1"/>
    <col min="5" max="5" width="12.33203125" customWidth="1"/>
    <col min="6" max="6" width="18.5546875" customWidth="1"/>
  </cols>
  <sheetData>
    <row r="1" spans="1:11">
      <c r="E1" s="167" t="s">
        <v>721</v>
      </c>
      <c r="F1" s="167"/>
      <c r="G1" s="167"/>
      <c r="H1" s="167"/>
      <c r="I1" s="167"/>
    </row>
    <row r="2" spans="1:11">
      <c r="E2" s="167"/>
      <c r="F2" s="167"/>
      <c r="G2" s="167"/>
      <c r="H2" s="167"/>
      <c r="I2" s="167"/>
    </row>
    <row r="3" spans="1:11">
      <c r="D3" s="161" t="s">
        <v>722</v>
      </c>
      <c r="E3" s="161"/>
      <c r="F3" s="161"/>
      <c r="G3" s="161"/>
      <c r="H3" s="161"/>
      <c r="I3" s="161"/>
      <c r="J3" s="161"/>
      <c r="K3" s="161"/>
    </row>
    <row r="4" spans="1:11">
      <c r="E4" s="166" t="s">
        <v>723</v>
      </c>
      <c r="F4" s="141"/>
      <c r="G4" s="141"/>
      <c r="H4" s="141"/>
      <c r="I4" s="141"/>
    </row>
    <row r="5" spans="1:11">
      <c r="E5" s="55" t="s">
        <v>724</v>
      </c>
      <c r="F5" s="56" t="s">
        <v>189</v>
      </c>
    </row>
    <row r="6" spans="1:11">
      <c r="E6" s="9">
        <v>123</v>
      </c>
      <c r="F6" s="9">
        <f>VALUE(E6)</f>
        <v>123</v>
      </c>
    </row>
    <row r="7" spans="1:11">
      <c r="E7" s="12" t="s">
        <v>191</v>
      </c>
      <c r="F7" s="9" t="e">
        <f>VALUE(E7)</f>
        <v>#VALUE!</v>
      </c>
    </row>
    <row r="8" spans="1:11">
      <c r="E8" s="9">
        <v>123</v>
      </c>
      <c r="F8" s="9"/>
    </row>
    <row r="9" spans="1:11">
      <c r="C9" s="6" t="s">
        <v>725</v>
      </c>
      <c r="E9" s="9"/>
      <c r="F9" s="9"/>
    </row>
    <row r="10" spans="1:11">
      <c r="C10">
        <v>123</v>
      </c>
    </row>
    <row r="11" spans="1:11">
      <c r="C11" s="6" t="s">
        <v>726</v>
      </c>
    </row>
    <row r="15" spans="1:11" ht="17.399999999999999">
      <c r="A15" s="35" t="s">
        <v>727</v>
      </c>
    </row>
    <row r="17" spans="1:1">
      <c r="A17" s="6" t="s">
        <v>728</v>
      </c>
    </row>
    <row r="23" spans="1:1">
      <c r="A23" s="19" t="e" cm="1">
        <f t="array" ref="A23">VALUE(_xleta.text)</f>
        <v>#NAME?</v>
      </c>
    </row>
    <row r="24" spans="1:1">
      <c r="A24" s="15"/>
    </row>
    <row r="25" spans="1:1">
      <c r="A25" s="16" t="s">
        <v>729</v>
      </c>
    </row>
    <row r="26" spans="1:1">
      <c r="A26" s="15"/>
    </row>
    <row r="27" spans="1:1">
      <c r="A27" s="17" t="s">
        <v>730</v>
      </c>
    </row>
    <row r="31" spans="1:1" ht="17.399999999999999">
      <c r="A31" s="35" t="s">
        <v>731</v>
      </c>
    </row>
    <row r="33" spans="1:2">
      <c r="A33" s="43" t="s">
        <v>405</v>
      </c>
      <c r="B33" s="43" t="s">
        <v>397</v>
      </c>
    </row>
    <row r="34" spans="1:2" ht="28.8">
      <c r="A34" s="44" t="s">
        <v>732</v>
      </c>
      <c r="B34" s="44" t="s">
        <v>733</v>
      </c>
    </row>
    <row r="35" spans="1:2" ht="28.8">
      <c r="A35" s="44" t="s">
        <v>734</v>
      </c>
      <c r="B35" s="44" t="s">
        <v>735</v>
      </c>
    </row>
    <row r="36" spans="1:2" ht="28.8">
      <c r="A36" s="44" t="s">
        <v>736</v>
      </c>
      <c r="B36" s="44" t="s">
        <v>737</v>
      </c>
    </row>
    <row r="37" spans="1:2" ht="28.8">
      <c r="A37" s="44" t="s">
        <v>738</v>
      </c>
      <c r="B37" s="44" t="s">
        <v>739</v>
      </c>
    </row>
    <row r="38" spans="1:2" ht="43.2">
      <c r="A38" s="44" t="s">
        <v>740</v>
      </c>
      <c r="B38" s="44" t="s">
        <v>741</v>
      </c>
    </row>
    <row r="39" spans="1:2" ht="28.8">
      <c r="A39" s="44" t="s">
        <v>742</v>
      </c>
      <c r="B39" s="44" t="s">
        <v>743</v>
      </c>
    </row>
    <row r="42" spans="1:2" ht="17.399999999999999">
      <c r="A42" s="35" t="s">
        <v>744</v>
      </c>
    </row>
    <row r="46" spans="1:2" ht="17.399999999999999">
      <c r="A46" s="35" t="s">
        <v>745</v>
      </c>
    </row>
    <row r="48" spans="1:2">
      <c r="A48" s="19">
        <f>VALUE("123")</f>
        <v>123</v>
      </c>
    </row>
    <row r="50" spans="1:1">
      <c r="A50" s="6" t="s">
        <v>746</v>
      </c>
    </row>
    <row r="51" spans="1:1">
      <c r="A51" s="6" t="s">
        <v>747</v>
      </c>
    </row>
    <row r="55" spans="1:1" ht="17.399999999999999">
      <c r="A55" s="35" t="s">
        <v>748</v>
      </c>
    </row>
    <row r="57" spans="1:1">
      <c r="A57" s="19">
        <f>VALUE("08/10/2025")</f>
        <v>45938</v>
      </c>
    </row>
    <row r="59" spans="1:1">
      <c r="A59" s="6" t="s">
        <v>749</v>
      </c>
    </row>
    <row r="60" spans="1:1">
      <c r="A60" s="6" t="s">
        <v>750</v>
      </c>
    </row>
    <row r="64" spans="1:1" ht="17.399999999999999">
      <c r="A64" s="35" t="s">
        <v>751</v>
      </c>
    </row>
    <row r="66" spans="1:1">
      <c r="A66" s="19">
        <f>VALUE("2:30 PM")</f>
        <v>0.60416666666666663</v>
      </c>
    </row>
    <row r="68" spans="1:1">
      <c r="A68" s="6" t="s">
        <v>752</v>
      </c>
    </row>
    <row r="69" spans="1:1">
      <c r="A69" s="6" t="s">
        <v>753</v>
      </c>
    </row>
    <row r="73" spans="1:1" ht="17.399999999999999">
      <c r="A73" s="35" t="s">
        <v>754</v>
      </c>
    </row>
    <row r="75" spans="1:1">
      <c r="A75" s="19" t="str">
        <f>IF(VALUE("100")&gt;50,"Yes","No")</f>
        <v>Yes</v>
      </c>
    </row>
    <row r="77" spans="1:1">
      <c r="A77" s="6" t="s">
        <v>755</v>
      </c>
    </row>
    <row r="78" spans="1:1">
      <c r="A78" s="6" t="s">
        <v>756</v>
      </c>
    </row>
    <row r="82" spans="1:1" ht="17.399999999999999">
      <c r="A82" s="35" t="s">
        <v>757</v>
      </c>
    </row>
    <row r="84" spans="1:1">
      <c r="A84" s="19">
        <f>SUM(VALUE("100"),VALUE("200"))</f>
        <v>300</v>
      </c>
    </row>
    <row r="86" spans="1:1">
      <c r="A86" s="6" t="s">
        <v>758</v>
      </c>
    </row>
    <row r="90" spans="1:1" ht="17.399999999999999">
      <c r="A90" s="35" t="s">
        <v>759</v>
      </c>
    </row>
    <row r="92" spans="1:1">
      <c r="A92" s="6" t="s">
        <v>760</v>
      </c>
    </row>
    <row r="94" spans="1:1">
      <c r="A94" s="19" t="s">
        <v>761</v>
      </c>
    </row>
    <row r="95" spans="1:1">
      <c r="A95" s="19" t="s">
        <v>762</v>
      </c>
    </row>
    <row r="96" spans="1:1">
      <c r="A96" s="19" t="s">
        <v>763</v>
      </c>
    </row>
    <row r="98" spans="1:1">
      <c r="A98" s="6" t="s">
        <v>764</v>
      </c>
    </row>
    <row r="100" spans="1:1">
      <c r="A100" s="19">
        <f>SUM(VALUE(A1),VALUE(A2),VALUE(A3))</f>
        <v>0</v>
      </c>
    </row>
    <row r="102" spans="1:1">
      <c r="A102" s="6" t="s">
        <v>765</v>
      </c>
    </row>
    <row r="106" spans="1:1" ht="17.399999999999999">
      <c r="A106" s="35" t="s">
        <v>766</v>
      </c>
    </row>
    <row r="108" spans="1:1">
      <c r="A108" s="6" t="s">
        <v>767</v>
      </c>
    </row>
    <row r="110" spans="1:1">
      <c r="A110" s="19" t="e">
        <f>VLOOKUP(VALUE("101"),A2:B10,2,FALSE)</f>
        <v>#N/A</v>
      </c>
    </row>
    <row r="114" spans="1:1" ht="17.399999999999999">
      <c r="A114" s="35" t="s">
        <v>768</v>
      </c>
    </row>
    <row r="116" spans="1:1">
      <c r="A116" s="19">
        <f ca="1">VALUE(TEXT(TODAY(),"dd-mm-yyyy"))</f>
        <v>46028</v>
      </c>
    </row>
    <row r="118" spans="1:1">
      <c r="A118" s="6" t="s">
        <v>769</v>
      </c>
    </row>
    <row r="122" spans="1:1" ht="17.399999999999999">
      <c r="A122" s="35" t="s">
        <v>770</v>
      </c>
    </row>
    <row r="124" spans="1:1">
      <c r="A124" s="19">
        <f>IFERROR(VALUE(A1),"Invalid")</f>
        <v>0</v>
      </c>
    </row>
    <row r="126" spans="1:1">
      <c r="A126" s="6" t="s">
        <v>771</v>
      </c>
    </row>
    <row r="130" spans="1:1" ht="17.399999999999999">
      <c r="A130" s="35" t="s">
        <v>772</v>
      </c>
    </row>
    <row r="132" spans="1:1">
      <c r="A132" s="6" t="s">
        <v>773</v>
      </c>
    </row>
    <row r="134" spans="1:1">
      <c r="A134" s="19" t="e">
        <f>VALUE(TRIM(A1))</f>
        <v>#VALUE!</v>
      </c>
    </row>
    <row r="136" spans="1:1">
      <c r="A136" s="6" t="s">
        <v>774</v>
      </c>
    </row>
    <row r="140" spans="1:1" ht="17.399999999999999">
      <c r="A140" s="35" t="s">
        <v>775</v>
      </c>
    </row>
    <row r="141" spans="1:1">
      <c r="A141" s="15"/>
    </row>
    <row r="142" spans="1:1">
      <c r="A142" s="17" t="s">
        <v>776</v>
      </c>
    </row>
    <row r="143" spans="1:1">
      <c r="A143" s="15"/>
    </row>
    <row r="144" spans="1:1">
      <c r="A144" s="17" t="s">
        <v>777</v>
      </c>
    </row>
    <row r="148" spans="1:3" ht="17.399999999999999">
      <c r="A148" s="35" t="s">
        <v>503</v>
      </c>
    </row>
    <row r="150" spans="1:3">
      <c r="A150" s="43" t="s">
        <v>778</v>
      </c>
      <c r="B150" s="43" t="s">
        <v>242</v>
      </c>
      <c r="C150" s="43" t="s">
        <v>505</v>
      </c>
    </row>
    <row r="151" spans="1:3">
      <c r="A151" s="44" t="s">
        <v>779</v>
      </c>
      <c r="B151" s="45">
        <f>VALUE("123")</f>
        <v>123</v>
      </c>
      <c r="C151" s="45">
        <v>123</v>
      </c>
    </row>
    <row r="152" spans="1:3">
      <c r="A152" s="44" t="s">
        <v>780</v>
      </c>
      <c r="B152" s="45">
        <f>VALUE("08/10/2025")</f>
        <v>45938</v>
      </c>
      <c r="C152" s="45">
        <v>45147</v>
      </c>
    </row>
    <row r="153" spans="1:3">
      <c r="A153" s="44" t="s">
        <v>781</v>
      </c>
      <c r="B153" s="45">
        <f>VALUE("2:30 PM")</f>
        <v>0.60416666666666663</v>
      </c>
      <c r="C153" s="45">
        <v>0.60416999999999998</v>
      </c>
    </row>
    <row r="154" spans="1:3">
      <c r="A154" s="44" t="s">
        <v>782</v>
      </c>
      <c r="B154" s="45" t="str">
        <f>IF(VALUE("80")&gt;70,"Pass","Fail")</f>
        <v>Pass</v>
      </c>
      <c r="C154" s="45" t="s">
        <v>783</v>
      </c>
    </row>
    <row r="155" spans="1:3">
      <c r="A155" s="44" t="s">
        <v>784</v>
      </c>
      <c r="B155" s="45">
        <f>SUM(VALUE("100"),VALUE("50"))</f>
        <v>150</v>
      </c>
      <c r="C155" s="45">
        <v>150</v>
      </c>
    </row>
    <row r="158" spans="1:3" ht="22.2">
      <c r="A158" s="14"/>
    </row>
    <row r="160" spans="1:3">
      <c r="A160" s="6"/>
    </row>
  </sheetData>
  <mergeCells count="3">
    <mergeCell ref="D3:K3"/>
    <mergeCell ref="E4:I4"/>
    <mergeCell ref="E1:I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2"/>
  <sheetViews>
    <sheetView workbookViewId="0">
      <selection activeCell="C5" sqref="C5"/>
    </sheetView>
  </sheetViews>
  <sheetFormatPr defaultColWidth="9" defaultRowHeight="14.4"/>
  <cols>
    <col min="1" max="4" width="13.5546875" customWidth="1"/>
  </cols>
  <sheetData>
    <row r="1" spans="1:4">
      <c r="A1" s="168" t="s">
        <v>1125</v>
      </c>
      <c r="B1" s="168"/>
      <c r="C1" s="168"/>
      <c r="D1" s="168"/>
    </row>
    <row r="2" spans="1:4">
      <c r="A2" s="168"/>
      <c r="B2" s="168"/>
      <c r="C2" s="168"/>
      <c r="D2" s="168"/>
    </row>
    <row r="3" spans="1:4" ht="15">
      <c r="A3" s="169" t="s">
        <v>1126</v>
      </c>
      <c r="B3" s="169"/>
      <c r="C3" s="169" t="s">
        <v>1127</v>
      </c>
      <c r="D3" s="169"/>
    </row>
    <row r="4" spans="1:4">
      <c r="A4" s="7">
        <v>1</v>
      </c>
      <c r="B4" s="7"/>
      <c r="C4" s="9" cm="1">
        <f t="array" ref="C4:C13">_xlfn.SCAN(0,A4:A13,_xlfn.LAMBDA(_xlpm.a,_xlpm.b,_xlpm.a+_xlpm.b))</f>
        <v>1</v>
      </c>
      <c r="D4" s="9"/>
    </row>
    <row r="5" spans="1:4">
      <c r="A5" s="7">
        <v>3</v>
      </c>
      <c r="B5" s="7"/>
      <c r="C5" s="9">
        <v>4</v>
      </c>
      <c r="D5" s="9"/>
    </row>
    <row r="6" spans="1:4">
      <c r="A6" s="7">
        <v>5</v>
      </c>
      <c r="B6" s="7"/>
      <c r="C6" s="9">
        <v>9</v>
      </c>
      <c r="D6" s="9"/>
    </row>
    <row r="7" spans="1:4">
      <c r="A7" s="7">
        <v>7</v>
      </c>
      <c r="B7" s="7"/>
      <c r="C7" s="9">
        <v>16</v>
      </c>
      <c r="D7" s="9"/>
    </row>
    <row r="8" spans="1:4">
      <c r="A8" s="7">
        <v>8</v>
      </c>
      <c r="B8" s="7"/>
      <c r="C8" s="9">
        <v>24</v>
      </c>
      <c r="D8" s="9"/>
    </row>
    <row r="9" spans="1:4">
      <c r="A9" s="7">
        <v>11</v>
      </c>
      <c r="B9" s="7"/>
      <c r="C9" s="9">
        <v>35</v>
      </c>
      <c r="D9" s="9"/>
    </row>
    <row r="10" spans="1:4">
      <c r="A10" s="7">
        <v>13</v>
      </c>
      <c r="B10" s="7"/>
      <c r="C10" s="9">
        <v>48</v>
      </c>
      <c r="D10" s="9"/>
    </row>
    <row r="11" spans="1:4">
      <c r="A11" s="7">
        <v>15</v>
      </c>
      <c r="B11" s="7"/>
      <c r="C11" s="9">
        <v>63</v>
      </c>
      <c r="D11" s="9"/>
    </row>
    <row r="12" spans="1:4">
      <c r="A12" s="7">
        <v>17</v>
      </c>
      <c r="B12" s="7"/>
      <c r="C12" s="9">
        <v>80</v>
      </c>
      <c r="D12" s="9"/>
    </row>
    <row r="13" spans="1:4">
      <c r="A13" s="7">
        <v>19</v>
      </c>
      <c r="B13" s="7"/>
      <c r="C13" s="9">
        <v>99</v>
      </c>
      <c r="D13" s="9"/>
    </row>
    <row r="14" spans="1:4">
      <c r="A14" s="148"/>
      <c r="B14" s="148"/>
    </row>
    <row r="15" spans="1:4" ht="18">
      <c r="A15" s="91" t="s">
        <v>1171</v>
      </c>
    </row>
    <row r="17" spans="1:1" ht="15">
      <c r="A17" s="87" t="s">
        <v>1134</v>
      </c>
    </row>
    <row r="21" spans="1:1" ht="18">
      <c r="A21" s="91" t="s">
        <v>393</v>
      </c>
    </row>
    <row r="23" spans="1:1">
      <c r="A23" s="92" t="s">
        <v>1135</v>
      </c>
    </row>
    <row r="24" spans="1:1">
      <c r="A24" s="15"/>
    </row>
    <row r="25" spans="1:1">
      <c r="A25" s="93" t="s">
        <v>1136</v>
      </c>
    </row>
    <row r="26" spans="1:1">
      <c r="A26" s="15"/>
    </row>
    <row r="27" spans="1:1">
      <c r="A27" s="93" t="s">
        <v>1137</v>
      </c>
    </row>
    <row r="28" spans="1:1">
      <c r="A28" s="15"/>
    </row>
    <row r="29" spans="1:1">
      <c r="A29" s="93" t="s">
        <v>1138</v>
      </c>
    </row>
    <row r="33" spans="1:2" ht="18">
      <c r="A33" s="91" t="s">
        <v>1172</v>
      </c>
    </row>
    <row r="35" spans="1:2">
      <c r="A35" s="94" t="s">
        <v>405</v>
      </c>
      <c r="B35" s="94" t="s">
        <v>397</v>
      </c>
    </row>
    <row r="36" spans="1:2" ht="43.2">
      <c r="A36" s="95" t="s">
        <v>1139</v>
      </c>
      <c r="B36" s="96" t="s">
        <v>1140</v>
      </c>
    </row>
    <row r="37" spans="1:2" ht="43.2">
      <c r="A37" s="95" t="s">
        <v>1141</v>
      </c>
      <c r="B37" s="96" t="s">
        <v>1142</v>
      </c>
    </row>
    <row r="38" spans="1:2" ht="57.6">
      <c r="A38" s="95" t="s">
        <v>1143</v>
      </c>
      <c r="B38" s="96" t="s">
        <v>1144</v>
      </c>
    </row>
    <row r="39" spans="1:2" ht="28.8">
      <c r="A39" s="95" t="s">
        <v>1145</v>
      </c>
      <c r="B39" s="96" t="s">
        <v>1146</v>
      </c>
    </row>
    <row r="40" spans="1:2" ht="57.6">
      <c r="A40" s="95" t="s">
        <v>1147</v>
      </c>
      <c r="B40" s="96" t="s">
        <v>1148</v>
      </c>
    </row>
    <row r="43" spans="1:2" ht="18">
      <c r="A43" s="91" t="s">
        <v>1149</v>
      </c>
    </row>
    <row r="45" spans="1:2" ht="15.6">
      <c r="A45" s="97" t="s">
        <v>1150</v>
      </c>
    </row>
    <row r="47" spans="1:2">
      <c r="A47" s="92" t="e" cm="1" vm="4">
        <f t="array" aca="1" ref="A47" ca="1">_xlfn.SCAN(0, A2:A5, _xlfn.LAMBDA(_xlpm.a,_xlpm.b, _xlpm.a + _xlpm.b))</f>
        <v>#VALUE!</v>
      </c>
    </row>
    <row r="49" spans="1:1" ht="15">
      <c r="A49" s="87" t="s">
        <v>1151</v>
      </c>
    </row>
    <row r="50" spans="1:1" ht="15">
      <c r="A50" s="87" t="s">
        <v>1152</v>
      </c>
    </row>
    <row r="54" spans="1:1" ht="15.6">
      <c r="A54" s="97" t="s">
        <v>1153</v>
      </c>
    </row>
    <row r="56" spans="1:1">
      <c r="A56" s="92" t="e" cm="1" vm="4">
        <f t="array" aca="1" ref="A56" ca="1">_xlfn.SCAN(-999, A2:A5, _xlfn.LAMBDA(_xlpm.a,_xlpm.b, MAX(_xlpm.a, _xlpm.b)))</f>
        <v>#VALUE!</v>
      </c>
    </row>
    <row r="58" spans="1:1" ht="15">
      <c r="A58" s="87" t="s">
        <v>1154</v>
      </c>
    </row>
    <row r="59" spans="1:1" ht="15">
      <c r="A59" s="87" t="s">
        <v>1155</v>
      </c>
    </row>
    <row r="60" spans="1:1" ht="15">
      <c r="A60" s="87" t="s">
        <v>1156</v>
      </c>
    </row>
    <row r="64" spans="1:1" ht="15.6">
      <c r="A64" s="97" t="s">
        <v>1157</v>
      </c>
    </row>
    <row r="66" spans="1:1">
      <c r="A66" s="92" t="e" cm="1" vm="4">
        <f t="array" aca="1" ref="A66" ca="1">_xlfn.SCAN("", A2:A5, _xlfn.LAMBDA(_xlpm.a,_xlpm.b, _xlpm.a &amp; "-" &amp; _xlpm.b))</f>
        <v>#VALUE!</v>
      </c>
    </row>
    <row r="68" spans="1:1" ht="15">
      <c r="A68" s="87" t="s">
        <v>1158</v>
      </c>
    </row>
    <row r="69" spans="1:1" ht="15">
      <c r="A69" s="87" t="s">
        <v>1159</v>
      </c>
    </row>
    <row r="73" spans="1:1" ht="15.6">
      <c r="A73" s="97" t="s">
        <v>1160</v>
      </c>
    </row>
    <row r="75" spans="1:1">
      <c r="A75" s="92" t="e" cm="1" vm="4">
        <f t="array" aca="1" ref="A75" ca="1">_xlfn.SCAN(1, A2:A5, _xlfn.LAMBDA(_xlpm.a,_xlpm.b, _xlpm.a * _xlpm.b))</f>
        <v>#VALUE!</v>
      </c>
    </row>
    <row r="77" spans="1:1" ht="15">
      <c r="A77" s="87" t="s">
        <v>1161</v>
      </c>
    </row>
    <row r="78" spans="1:1" ht="15">
      <c r="A78" s="87" t="s">
        <v>1162</v>
      </c>
    </row>
    <row r="82" spans="1:1" ht="15.6">
      <c r="A82" s="97" t="s">
        <v>1163</v>
      </c>
    </row>
    <row r="84" spans="1:1">
      <c r="A84" s="92" t="e" cm="1" vm="5">
        <f t="array" aca="1" ref="A84" ca="1">_xlfn.SCAN(0, A2:A6, _xlfn.LAMBDA(_xlpm.a,_xlpm.b, _xlpm.a + 1))</f>
        <v>#VALUE!</v>
      </c>
    </row>
    <row r="86" spans="1:1" ht="15">
      <c r="A86" s="87" t="s">
        <v>1164</v>
      </c>
    </row>
    <row r="90" spans="1:1" ht="18">
      <c r="A90" s="91" t="s">
        <v>1165</v>
      </c>
    </row>
    <row r="91" spans="1:1">
      <c r="A91" s="15"/>
    </row>
    <row r="92" spans="1:1">
      <c r="A92" s="98" t="s">
        <v>1166</v>
      </c>
    </row>
    <row r="93" spans="1:1">
      <c r="A93" s="15"/>
    </row>
    <row r="94" spans="1:1">
      <c r="A94" s="98" t="s">
        <v>1167</v>
      </c>
    </row>
    <row r="95" spans="1:1">
      <c r="A95" s="15"/>
    </row>
    <row r="96" spans="1:1">
      <c r="A96" s="98" t="s">
        <v>1168</v>
      </c>
    </row>
    <row r="100" spans="1:1" ht="18">
      <c r="A100" s="91" t="s">
        <v>1169</v>
      </c>
    </row>
    <row r="102" spans="1:1" ht="15">
      <c r="A102" s="87" t="s">
        <v>1170</v>
      </c>
    </row>
  </sheetData>
  <mergeCells count="4">
    <mergeCell ref="A14:B14"/>
    <mergeCell ref="A1:D2"/>
    <mergeCell ref="A3:B3"/>
    <mergeCell ref="C3:D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4"/>
  <sheetViews>
    <sheetView workbookViewId="0">
      <selection activeCell="D6" sqref="D6"/>
    </sheetView>
  </sheetViews>
  <sheetFormatPr defaultColWidth="9" defaultRowHeight="14.4"/>
  <cols>
    <col min="4" max="4" width="31.44140625" customWidth="1"/>
    <col min="12" max="12" width="38.21875" customWidth="1"/>
  </cols>
  <sheetData>
    <row r="1" spans="1:12" ht="23.4">
      <c r="A1" s="172" t="s">
        <v>1115</v>
      </c>
      <c r="B1" s="172"/>
      <c r="C1" s="172"/>
      <c r="D1" s="172"/>
      <c r="E1" s="172"/>
      <c r="F1" s="172"/>
      <c r="G1" s="172"/>
      <c r="I1" s="174" t="s">
        <v>1122</v>
      </c>
      <c r="J1" s="174"/>
      <c r="K1" s="174"/>
      <c r="L1" s="174"/>
    </row>
    <row r="2" spans="1:12">
      <c r="B2" s="84" t="s">
        <v>4</v>
      </c>
      <c r="C2" s="84" t="s">
        <v>237</v>
      </c>
      <c r="D2" s="84" t="s">
        <v>189</v>
      </c>
      <c r="I2" s="173" t="s">
        <v>1123</v>
      </c>
      <c r="J2" s="173"/>
      <c r="K2" s="173" t="s">
        <v>1124</v>
      </c>
      <c r="L2" s="173"/>
    </row>
    <row r="3" spans="1:12" ht="18">
      <c r="B3" s="85" t="s">
        <v>14</v>
      </c>
      <c r="C3" s="7">
        <v>3</v>
      </c>
      <c r="D3" s="7" t="str">
        <f>REPT("*",15)</f>
        <v>***************</v>
      </c>
      <c r="I3" s="170">
        <v>0.9</v>
      </c>
      <c r="J3" s="171"/>
      <c r="K3" s="175" t="str">
        <f>REPT("|",I3*100)</f>
        <v>||||||||||||||||||||||||||||||||||||||||||||||||||||||||||||||||||||||||||||||||||||||||||</v>
      </c>
      <c r="L3" s="176"/>
    </row>
    <row r="4" spans="1:12" ht="18">
      <c r="B4" s="85" t="s">
        <v>11</v>
      </c>
      <c r="C4" s="7">
        <v>2</v>
      </c>
      <c r="D4" s="7" t="str">
        <f>REPT(B4,4)</f>
        <v>SumitSumitSumitSumit</v>
      </c>
      <c r="I4" s="170">
        <v>0.50749999999999995</v>
      </c>
      <c r="J4" s="171"/>
      <c r="K4" s="177"/>
      <c r="L4" s="177"/>
    </row>
    <row r="5" spans="1:12" ht="18">
      <c r="B5" s="85" t="s">
        <v>911</v>
      </c>
      <c r="C5" s="7">
        <v>1</v>
      </c>
      <c r="D5" s="7" t="str">
        <f>REPT(B5,C5)</f>
        <v>Rohit</v>
      </c>
      <c r="I5" s="170">
        <v>0.2</v>
      </c>
      <c r="J5" s="171"/>
      <c r="K5" s="177"/>
      <c r="L5" s="177"/>
    </row>
    <row r="6" spans="1:12" ht="18">
      <c r="B6" s="85" t="s">
        <v>209</v>
      </c>
      <c r="C6" s="7">
        <v>4</v>
      </c>
      <c r="D6" s="7"/>
      <c r="I6" s="170">
        <v>0.34499999999999997</v>
      </c>
      <c r="J6" s="171"/>
      <c r="K6" s="177"/>
      <c r="L6" s="177"/>
    </row>
    <row r="7" spans="1:12" ht="18">
      <c r="B7" s="85" t="s">
        <v>1116</v>
      </c>
      <c r="C7" s="7">
        <v>5</v>
      </c>
      <c r="D7" s="7"/>
      <c r="I7" s="170">
        <v>0.45050000000000001</v>
      </c>
      <c r="J7" s="171"/>
      <c r="K7" s="177"/>
      <c r="L7" s="177"/>
    </row>
    <row r="8" spans="1:12" ht="18">
      <c r="B8" s="85" t="s">
        <v>1117</v>
      </c>
      <c r="C8" s="7">
        <v>1</v>
      </c>
      <c r="D8" s="7"/>
      <c r="I8" s="170">
        <v>0.75</v>
      </c>
      <c r="J8" s="171"/>
      <c r="K8" s="177"/>
      <c r="L8" s="177"/>
    </row>
    <row r="9" spans="1:12" ht="18">
      <c r="B9" s="85" t="s">
        <v>1118</v>
      </c>
      <c r="C9" s="7">
        <v>2</v>
      </c>
      <c r="D9" s="7"/>
      <c r="I9" s="170">
        <v>0.99990000000000001</v>
      </c>
      <c r="J9" s="171"/>
      <c r="K9" s="177"/>
      <c r="L9" s="177"/>
    </row>
    <row r="10" spans="1:12">
      <c r="B10" s="85" t="s">
        <v>325</v>
      </c>
      <c r="C10" s="7">
        <v>4</v>
      </c>
      <c r="D10" s="7"/>
      <c r="I10" s="170">
        <v>0.4</v>
      </c>
      <c r="J10" s="171"/>
      <c r="K10" s="171"/>
      <c r="L10" s="171"/>
    </row>
    <row r="11" spans="1:12">
      <c r="B11" s="85" t="s">
        <v>1119</v>
      </c>
      <c r="C11" s="7">
        <v>3</v>
      </c>
      <c r="D11" s="7"/>
      <c r="I11" s="148"/>
      <c r="J11" s="148"/>
      <c r="K11" s="148"/>
      <c r="L11" s="148"/>
    </row>
    <row r="12" spans="1:12">
      <c r="B12" s="85" t="s">
        <v>1120</v>
      </c>
      <c r="C12" s="7">
        <v>5</v>
      </c>
      <c r="D12" s="7"/>
      <c r="I12" s="148"/>
      <c r="J12" s="148"/>
      <c r="K12" s="148"/>
      <c r="L12" s="148"/>
    </row>
    <row r="14" spans="1:12" ht="15">
      <c r="A14" s="86" t="s">
        <v>1121</v>
      </c>
    </row>
  </sheetData>
  <mergeCells count="24">
    <mergeCell ref="K2:L2"/>
    <mergeCell ref="I3:J3"/>
    <mergeCell ref="I4:J4"/>
    <mergeCell ref="I8:J8"/>
    <mergeCell ref="I9:J9"/>
    <mergeCell ref="I5:J5"/>
    <mergeCell ref="I6:J6"/>
    <mergeCell ref="I7:J7"/>
    <mergeCell ref="I10:J10"/>
    <mergeCell ref="A1:G1"/>
    <mergeCell ref="I2:J2"/>
    <mergeCell ref="K11:L11"/>
    <mergeCell ref="K12:L12"/>
    <mergeCell ref="I1:L1"/>
    <mergeCell ref="I11:J11"/>
    <mergeCell ref="I12:J12"/>
    <mergeCell ref="K3:L3"/>
    <mergeCell ref="K4:L4"/>
    <mergeCell ref="K5:L5"/>
    <mergeCell ref="K6:L6"/>
    <mergeCell ref="K7:L7"/>
    <mergeCell ref="K8:L8"/>
    <mergeCell ref="K9:L9"/>
    <mergeCell ref="K10:L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49"/>
  <sheetViews>
    <sheetView workbookViewId="0">
      <selection activeCell="F8" sqref="F8"/>
    </sheetView>
  </sheetViews>
  <sheetFormatPr defaultColWidth="9" defaultRowHeight="14.4"/>
  <cols>
    <col min="1" max="2" width="23.109375" customWidth="1"/>
    <col min="3" max="3" width="27.6640625" customWidth="1"/>
  </cols>
  <sheetData>
    <row r="1" spans="1:18" ht="22.2">
      <c r="A1" s="178" t="s">
        <v>785</v>
      </c>
      <c r="B1" s="178"/>
      <c r="C1" s="178"/>
      <c r="D1" s="178"/>
      <c r="E1" s="178"/>
      <c r="K1" s="166" t="s">
        <v>786</v>
      </c>
      <c r="L1" s="141"/>
      <c r="M1" s="141"/>
      <c r="N1" s="141"/>
      <c r="O1" s="141"/>
      <c r="P1" s="141"/>
      <c r="Q1" s="141"/>
      <c r="R1" s="141"/>
    </row>
    <row r="2" spans="1:18">
      <c r="A2" s="179" t="s">
        <v>787</v>
      </c>
      <c r="B2" s="179"/>
      <c r="C2" s="179"/>
      <c r="D2" s="179"/>
      <c r="E2" s="179"/>
      <c r="F2" s="179"/>
      <c r="G2" s="179"/>
      <c r="H2" s="179"/>
      <c r="I2" s="179"/>
      <c r="K2" s="166" t="s">
        <v>788</v>
      </c>
      <c r="L2" s="141"/>
      <c r="M2" s="141"/>
      <c r="N2" s="141"/>
      <c r="O2" s="141"/>
      <c r="P2" s="141"/>
      <c r="Q2" s="141"/>
      <c r="R2" s="141"/>
    </row>
    <row r="3" spans="1:18">
      <c r="A3" s="179"/>
      <c r="B3" s="179"/>
      <c r="C3" s="179"/>
      <c r="D3" s="179"/>
      <c r="E3" s="179"/>
      <c r="F3" s="179"/>
      <c r="G3" s="179"/>
      <c r="H3" s="179"/>
      <c r="I3" s="179"/>
    </row>
    <row r="4" spans="1:18">
      <c r="B4" s="12" t="s">
        <v>789</v>
      </c>
      <c r="C4" s="12" t="s">
        <v>790</v>
      </c>
      <c r="D4" s="6" t="s">
        <v>791</v>
      </c>
    </row>
    <row r="5" spans="1:18">
      <c r="B5" s="12" t="s">
        <v>381</v>
      </c>
      <c r="C5" s="9">
        <f>_xlfn.UNICODE(B5)</f>
        <v>65</v>
      </c>
      <c r="D5">
        <f>CODE(B5)</f>
        <v>65</v>
      </c>
    </row>
    <row r="6" spans="1:18">
      <c r="B6" s="53" t="s">
        <v>245</v>
      </c>
      <c r="C6" s="9">
        <f>_xlfn.UNICODE(B6)</f>
        <v>83</v>
      </c>
    </row>
    <row r="7" spans="1:18">
      <c r="B7" s="53" t="s">
        <v>792</v>
      </c>
      <c r="C7" s="9">
        <f t="shared" ref="C7:C12" si="0">_xlfn.UNICODE(B7)</f>
        <v>74</v>
      </c>
    </row>
    <row r="8" spans="1:18">
      <c r="B8" s="53" t="s">
        <v>605</v>
      </c>
      <c r="C8" s="9">
        <f t="shared" si="0"/>
        <v>38</v>
      </c>
    </row>
    <row r="9" spans="1:18">
      <c r="B9" s="12" t="s">
        <v>793</v>
      </c>
      <c r="C9" s="9">
        <f t="shared" si="0"/>
        <v>40</v>
      </c>
    </row>
    <row r="10" spans="1:18">
      <c r="B10" s="9">
        <v>9</v>
      </c>
      <c r="C10" s="9">
        <f t="shared" si="0"/>
        <v>57</v>
      </c>
    </row>
    <row r="11" spans="1:18">
      <c r="B11" s="12" t="s">
        <v>245</v>
      </c>
      <c r="C11" s="9">
        <f t="shared" si="0"/>
        <v>83</v>
      </c>
    </row>
    <row r="12" spans="1:18">
      <c r="B12" s="9">
        <v>-1</v>
      </c>
      <c r="C12" s="9">
        <f t="shared" si="0"/>
        <v>45</v>
      </c>
    </row>
    <row r="13" spans="1:18">
      <c r="B13" s="12" t="s">
        <v>382</v>
      </c>
      <c r="C13" s="9"/>
    </row>
    <row r="14" spans="1:18">
      <c r="B14" s="12" t="s">
        <v>794</v>
      </c>
      <c r="C14" s="9"/>
    </row>
    <row r="15" spans="1:18">
      <c r="A15" s="6" t="s">
        <v>795</v>
      </c>
    </row>
    <row r="17" spans="1:1">
      <c r="A17" s="6" t="s">
        <v>796</v>
      </c>
    </row>
    <row r="21" spans="1:1" ht="22.2">
      <c r="A21" s="14" t="s">
        <v>532</v>
      </c>
    </row>
    <row r="23" spans="1:1">
      <c r="A23" s="19" t="e" cm="1">
        <f t="array" ref="A23">_xlfn.UNICODE(_xleta.text)</f>
        <v>#NAME?</v>
      </c>
    </row>
    <row r="24" spans="1:1">
      <c r="A24" s="15"/>
    </row>
    <row r="25" spans="1:1">
      <c r="A25" s="16" t="s">
        <v>797</v>
      </c>
    </row>
    <row r="26" spans="1:1">
      <c r="A26" s="15"/>
    </row>
    <row r="27" spans="1:1">
      <c r="A27" s="17" t="s">
        <v>798</v>
      </c>
    </row>
    <row r="31" spans="1:1" ht="22.2">
      <c r="A31" s="14" t="s">
        <v>799</v>
      </c>
    </row>
    <row r="33" spans="1:2">
      <c r="A33" s="43" t="s">
        <v>396</v>
      </c>
      <c r="B33" s="43" t="s">
        <v>397</v>
      </c>
    </row>
    <row r="34" spans="1:2" ht="86.4">
      <c r="A34" s="45" t="s">
        <v>800</v>
      </c>
      <c r="B34" s="44" t="s">
        <v>801</v>
      </c>
    </row>
    <row r="37" spans="1:2" ht="22.2">
      <c r="A37" s="14" t="s">
        <v>802</v>
      </c>
    </row>
    <row r="39" spans="1:2">
      <c r="A39" s="43" t="s">
        <v>405</v>
      </c>
      <c r="B39" s="43" t="s">
        <v>397</v>
      </c>
    </row>
    <row r="40" spans="1:2" ht="72">
      <c r="A40" s="44" t="s">
        <v>803</v>
      </c>
      <c r="B40" s="51"/>
    </row>
    <row r="41" spans="1:2" ht="72">
      <c r="A41" s="44" t="s">
        <v>804</v>
      </c>
      <c r="B41" s="51"/>
    </row>
    <row r="42" spans="1:2" ht="28.8">
      <c r="A42" s="44" t="s">
        <v>805</v>
      </c>
      <c r="B42" s="51"/>
    </row>
    <row r="43" spans="1:2" ht="57.6">
      <c r="A43" s="44" t="s">
        <v>806</v>
      </c>
      <c r="B43" s="51"/>
    </row>
    <row r="44" spans="1:2" ht="43.2">
      <c r="A44" s="44" t="s">
        <v>807</v>
      </c>
      <c r="B44" s="51"/>
    </row>
    <row r="47" spans="1:2" ht="22.2">
      <c r="A47" s="14" t="s">
        <v>646</v>
      </c>
    </row>
    <row r="51" spans="1:1" ht="17.399999999999999">
      <c r="A51" s="35" t="s">
        <v>808</v>
      </c>
    </row>
    <row r="53" spans="1:1">
      <c r="A53" s="19">
        <f>_xlfn.UNICODE("A")</f>
        <v>65</v>
      </c>
    </row>
    <row r="55" spans="1:1">
      <c r="A55" s="6" t="s">
        <v>809</v>
      </c>
    </row>
    <row r="59" spans="1:1" ht="17.399999999999999">
      <c r="A59" s="35" t="s">
        <v>810</v>
      </c>
    </row>
    <row r="61" spans="1:1">
      <c r="A61" s="19">
        <f>_xlfn.UNICODE("a")</f>
        <v>97</v>
      </c>
    </row>
    <row r="63" spans="1:1">
      <c r="A63" s="6" t="s">
        <v>811</v>
      </c>
    </row>
    <row r="67" spans="1:1" ht="17.399999999999999">
      <c r="A67" s="35" t="s">
        <v>812</v>
      </c>
    </row>
    <row r="69" spans="1:1">
      <c r="A69" s="19">
        <f>_xlfn.UNICODE("5")</f>
        <v>53</v>
      </c>
    </row>
    <row r="71" spans="1:1">
      <c r="A71" s="6" t="s">
        <v>813</v>
      </c>
    </row>
    <row r="75" spans="1:1" ht="17.399999999999999">
      <c r="A75" s="35" t="s">
        <v>814</v>
      </c>
    </row>
    <row r="77" spans="1:1">
      <c r="A77" s="19">
        <f>_xlfn.UNICODE("😀")</f>
        <v>128512</v>
      </c>
    </row>
    <row r="79" spans="1:1">
      <c r="A79" s="6" t="s">
        <v>815</v>
      </c>
    </row>
    <row r="83" spans="1:1" ht="17.399999999999999">
      <c r="A83" s="35" t="s">
        <v>816</v>
      </c>
    </row>
    <row r="85" spans="1:1">
      <c r="A85" s="19">
        <f>_xlfn.UNICODE("€")</f>
        <v>8364</v>
      </c>
    </row>
    <row r="87" spans="1:1">
      <c r="A87" s="6" t="s">
        <v>817</v>
      </c>
    </row>
    <row r="91" spans="1:1" ht="17.399999999999999">
      <c r="A91" s="35" t="s">
        <v>818</v>
      </c>
    </row>
    <row r="93" spans="1:1">
      <c r="A93" s="19">
        <f>_xlfn.UNICODE("→")</f>
        <v>8594</v>
      </c>
    </row>
    <row r="95" spans="1:1">
      <c r="A95" s="6" t="s">
        <v>819</v>
      </c>
    </row>
    <row r="99" spans="1:1" ht="17.399999999999999">
      <c r="A99" s="35" t="s">
        <v>820</v>
      </c>
    </row>
    <row r="101" spans="1:1">
      <c r="A101" s="19">
        <f>_xlfn.UNICODE("✓")</f>
        <v>10003</v>
      </c>
    </row>
    <row r="103" spans="1:1">
      <c r="A103" s="6" t="s">
        <v>821</v>
      </c>
    </row>
    <row r="107" spans="1:1" ht="17.399999999999999">
      <c r="A107" s="35" t="s">
        <v>822</v>
      </c>
    </row>
    <row r="109" spans="1:1">
      <c r="A109" s="19">
        <f>_xlfn.UNICODE(A1)</f>
        <v>85</v>
      </c>
    </row>
    <row r="111" spans="1:1">
      <c r="A111" s="6" t="s">
        <v>823</v>
      </c>
    </row>
    <row r="115" spans="1:1" ht="17.399999999999999">
      <c r="A115" s="35" t="s">
        <v>824</v>
      </c>
    </row>
    <row r="117" spans="1:1">
      <c r="A117" s="19" t="str">
        <f>IF(_xlfn.UNICODE(A1)=10060,"Invalid","OK")</f>
        <v>OK</v>
      </c>
    </row>
    <row r="119" spans="1:1">
      <c r="A119" s="6" t="s">
        <v>825</v>
      </c>
    </row>
    <row r="123" spans="1:1" ht="17.399999999999999">
      <c r="A123" s="35" t="s">
        <v>826</v>
      </c>
    </row>
    <row r="125" spans="1:1">
      <c r="A125" s="19">
        <f>_xlfn.UNICODE("Excel")</f>
        <v>69</v>
      </c>
    </row>
    <row r="127" spans="1:1">
      <c r="A127" s="6" t="s">
        <v>827</v>
      </c>
    </row>
    <row r="131" spans="1:3" ht="22.2">
      <c r="A131" s="14" t="s">
        <v>828</v>
      </c>
    </row>
    <row r="133" spans="1:3">
      <c r="A133" s="43" t="s">
        <v>497</v>
      </c>
      <c r="B133" s="43" t="s">
        <v>829</v>
      </c>
      <c r="C133" s="43" t="s">
        <v>830</v>
      </c>
    </row>
    <row r="134" spans="1:3" ht="28.8">
      <c r="A134" s="45" t="s">
        <v>831</v>
      </c>
      <c r="B134" s="44" t="s">
        <v>832</v>
      </c>
      <c r="C134" s="45" t="s">
        <v>833</v>
      </c>
    </row>
    <row r="135" spans="1:3" ht="28.8">
      <c r="A135" s="45" t="s">
        <v>834</v>
      </c>
      <c r="B135" s="44" t="s">
        <v>835</v>
      </c>
      <c r="C135" s="45" t="s">
        <v>836</v>
      </c>
    </row>
    <row r="138" spans="1:3" ht="22.2">
      <c r="A138" s="14" t="s">
        <v>680</v>
      </c>
    </row>
    <row r="140" spans="1:3">
      <c r="A140" s="43" t="s">
        <v>405</v>
      </c>
      <c r="B140" s="43" t="s">
        <v>831</v>
      </c>
    </row>
    <row r="141" spans="1:3">
      <c r="A141" s="44" t="s">
        <v>837</v>
      </c>
      <c r="B141" s="44" t="s">
        <v>453</v>
      </c>
    </row>
    <row r="142" spans="1:3" ht="28.8">
      <c r="A142" s="44" t="s">
        <v>838</v>
      </c>
      <c r="B142" s="44" t="s">
        <v>453</v>
      </c>
    </row>
    <row r="143" spans="1:3">
      <c r="A143" s="44" t="s">
        <v>492</v>
      </c>
      <c r="B143" s="44" t="s">
        <v>839</v>
      </c>
    </row>
    <row r="144" spans="1:3">
      <c r="A144" s="44" t="s">
        <v>840</v>
      </c>
      <c r="B144" s="45" t="s">
        <v>841</v>
      </c>
    </row>
    <row r="145" spans="1:2" ht="28.8">
      <c r="A145" s="44" t="s">
        <v>842</v>
      </c>
      <c r="B145" s="44" t="s">
        <v>453</v>
      </c>
    </row>
    <row r="146" spans="1:2" ht="28.8">
      <c r="A146" s="44" t="s">
        <v>843</v>
      </c>
      <c r="B146" s="44" t="s">
        <v>453</v>
      </c>
    </row>
    <row r="149" spans="1:2">
      <c r="A149" s="6" t="s">
        <v>844</v>
      </c>
    </row>
  </sheetData>
  <mergeCells count="4">
    <mergeCell ref="A1:E1"/>
    <mergeCell ref="K1:R1"/>
    <mergeCell ref="K2:R2"/>
    <mergeCell ref="A2:I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45"/>
  <sheetViews>
    <sheetView workbookViewId="0">
      <selection activeCell="N2" sqref="N2"/>
    </sheetView>
  </sheetViews>
  <sheetFormatPr defaultColWidth="9" defaultRowHeight="14.4"/>
  <cols>
    <col min="1" max="3" width="17.33203125" customWidth="1"/>
  </cols>
  <sheetData>
    <row r="1" spans="1:14" ht="17.399999999999999">
      <c r="A1" s="180" t="s">
        <v>845</v>
      </c>
      <c r="B1" s="180"/>
      <c r="C1" s="180"/>
      <c r="D1" s="180"/>
      <c r="E1" s="180"/>
      <c r="F1" s="180"/>
      <c r="G1" s="180"/>
      <c r="M1" t="str">
        <f>_xlfn.UNICHAR(ROW()+9311)</f>
        <v>①</v>
      </c>
    </row>
    <row r="2" spans="1:14">
      <c r="C2" s="49" t="s">
        <v>361</v>
      </c>
      <c r="D2" s="12" t="s">
        <v>846</v>
      </c>
      <c r="M2" t="str">
        <f t="shared" ref="M2:M12" si="0">_xlfn.UNICHAR(ROW()+9311)</f>
        <v>②</v>
      </c>
      <c r="N2" t="str">
        <f>_xlfn.UNICHAR(C5)</f>
        <v>C</v>
      </c>
    </row>
    <row r="3" spans="1:14">
      <c r="C3" s="42">
        <v>65</v>
      </c>
      <c r="D3" s="9" t="str">
        <f>_xlfn.UNICHAR(C3)</f>
        <v>A</v>
      </c>
      <c r="M3" t="str">
        <f t="shared" si="0"/>
        <v>③</v>
      </c>
    </row>
    <row r="4" spans="1:14">
      <c r="C4" s="42">
        <v>66</v>
      </c>
      <c r="D4" s="9" t="str">
        <f t="shared" ref="D4:D8" si="1">_xlfn.UNICHAR(C4)</f>
        <v>B</v>
      </c>
      <c r="M4" t="str">
        <f t="shared" si="0"/>
        <v>④</v>
      </c>
    </row>
    <row r="5" spans="1:14">
      <c r="C5" s="42">
        <v>67</v>
      </c>
      <c r="D5" s="9" t="str">
        <f t="shared" si="1"/>
        <v>C</v>
      </c>
      <c r="M5" t="str">
        <f t="shared" si="0"/>
        <v>⑤</v>
      </c>
    </row>
    <row r="6" spans="1:14">
      <c r="C6" s="42">
        <v>68</v>
      </c>
      <c r="D6" s="9" t="str">
        <f t="shared" si="1"/>
        <v>D</v>
      </c>
      <c r="M6" t="str">
        <f t="shared" si="0"/>
        <v>⑥</v>
      </c>
    </row>
    <row r="7" spans="1:14">
      <c r="C7" s="42">
        <v>69</v>
      </c>
      <c r="D7" s="9" t="str">
        <f t="shared" si="1"/>
        <v>E</v>
      </c>
      <c r="M7" t="str">
        <f t="shared" si="0"/>
        <v>⑦</v>
      </c>
    </row>
    <row r="8" spans="1:14">
      <c r="C8" s="42">
        <v>70</v>
      </c>
      <c r="D8" s="9" t="str">
        <f t="shared" si="1"/>
        <v>F</v>
      </c>
      <c r="M8" t="str">
        <f t="shared" si="0"/>
        <v>⑧</v>
      </c>
    </row>
    <row r="9" spans="1:14">
      <c r="M9" t="str">
        <f t="shared" si="0"/>
        <v>⑨</v>
      </c>
    </row>
    <row r="10" spans="1:14">
      <c r="M10" t="str">
        <f t="shared" si="0"/>
        <v>⑩</v>
      </c>
    </row>
    <row r="11" spans="1:14">
      <c r="M11" t="str">
        <f t="shared" si="0"/>
        <v>⑪</v>
      </c>
    </row>
    <row r="12" spans="1:14">
      <c r="M12" t="str">
        <f t="shared" si="0"/>
        <v>⑫</v>
      </c>
    </row>
    <row r="15" spans="1:14">
      <c r="A15" s="6" t="s">
        <v>847</v>
      </c>
    </row>
    <row r="17" spans="1:1">
      <c r="A17" s="6" t="s">
        <v>848</v>
      </c>
    </row>
    <row r="19" spans="1:1" ht="17.399999999999999">
      <c r="A19" s="35" t="s">
        <v>849</v>
      </c>
    </row>
    <row r="21" spans="1:1">
      <c r="A21" s="6" t="s">
        <v>850</v>
      </c>
    </row>
    <row r="23" spans="1:1" ht="17.399999999999999">
      <c r="A23" s="35" t="s">
        <v>851</v>
      </c>
    </row>
    <row r="25" spans="1:1">
      <c r="A25" s="6" t="s">
        <v>852</v>
      </c>
    </row>
    <row r="29" spans="1:1" ht="22.2">
      <c r="A29" s="14" t="s">
        <v>853</v>
      </c>
    </row>
    <row r="31" spans="1:1" ht="17.399999999999999">
      <c r="A31" s="35" t="s">
        <v>532</v>
      </c>
    </row>
    <row r="33" spans="1:2">
      <c r="A33" s="50" t="s">
        <v>854</v>
      </c>
    </row>
    <row r="35" spans="1:2" ht="17.399999999999999">
      <c r="A35" s="35" t="s">
        <v>423</v>
      </c>
    </row>
    <row r="37" spans="1:2">
      <c r="A37" s="19" t="e" cm="1">
        <f t="array" ref="A37">_xlfn.UNICHAR(number)</f>
        <v>#NAME?</v>
      </c>
    </row>
    <row r="39" spans="1:2" ht="17.399999999999999">
      <c r="A39" s="35" t="s">
        <v>855</v>
      </c>
    </row>
    <row r="40" spans="1:2">
      <c r="A40" s="15"/>
    </row>
    <row r="41" spans="1:2">
      <c r="A41" s="36" t="s">
        <v>856</v>
      </c>
    </row>
    <row r="45" spans="1:2" ht="17.399999999999999">
      <c r="A45" s="35" t="s">
        <v>857</v>
      </c>
    </row>
    <row r="47" spans="1:2">
      <c r="A47" s="43" t="s">
        <v>405</v>
      </c>
      <c r="B47" s="43" t="s">
        <v>397</v>
      </c>
    </row>
    <row r="48" spans="1:2" ht="43.2">
      <c r="A48" s="44" t="s">
        <v>858</v>
      </c>
      <c r="B48" s="51"/>
    </row>
    <row r="49" spans="1:2" ht="72">
      <c r="A49" s="44" t="s">
        <v>859</v>
      </c>
      <c r="B49" s="51"/>
    </row>
    <row r="50" spans="1:2" ht="43.2">
      <c r="A50" s="44" t="s">
        <v>860</v>
      </c>
      <c r="B50" s="51"/>
    </row>
    <row r="51" spans="1:2" ht="72">
      <c r="A51" s="44" t="s">
        <v>861</v>
      </c>
      <c r="B51" s="51"/>
    </row>
    <row r="54" spans="1:2" ht="17.399999999999999">
      <c r="A54" s="35" t="s">
        <v>862</v>
      </c>
    </row>
    <row r="58" spans="1:2" ht="15.6">
      <c r="A58" s="52" t="s">
        <v>863</v>
      </c>
    </row>
    <row r="60" spans="1:2">
      <c r="A60" s="19" t="str">
        <f>_xlfn.UNICHAR(65)</f>
        <v>A</v>
      </c>
    </row>
    <row r="62" spans="1:2">
      <c r="A62" s="10" t="s">
        <v>864</v>
      </c>
    </row>
    <row r="66" spans="1:1" ht="15.6">
      <c r="A66" s="52" t="s">
        <v>865</v>
      </c>
    </row>
    <row r="68" spans="1:1">
      <c r="A68" s="19" t="str">
        <f>_xlfn.UNICHAR(128512)</f>
        <v>😀</v>
      </c>
    </row>
    <row r="70" spans="1:1">
      <c r="A70" s="10" t="s">
        <v>866</v>
      </c>
    </row>
    <row r="74" spans="1:1" ht="15.6">
      <c r="A74" s="52" t="s">
        <v>867</v>
      </c>
    </row>
    <row r="76" spans="1:1">
      <c r="A76" s="19" t="str">
        <f>_xlfn.UNICHAR(8594)</f>
        <v>→</v>
      </c>
    </row>
    <row r="78" spans="1:1">
      <c r="A78" s="10" t="s">
        <v>868</v>
      </c>
    </row>
    <row r="82" spans="1:1" ht="15.6">
      <c r="A82" s="52" t="s">
        <v>869</v>
      </c>
    </row>
    <row r="84" spans="1:1">
      <c r="A84" s="19" t="str">
        <f>_xlfn.UNICHAR(128077)</f>
        <v>👍</v>
      </c>
    </row>
    <row r="86" spans="1:1">
      <c r="A86" s="10" t="s">
        <v>870</v>
      </c>
    </row>
    <row r="90" spans="1:1" ht="15.6">
      <c r="A90" s="52" t="s">
        <v>871</v>
      </c>
    </row>
    <row r="92" spans="1:1">
      <c r="A92" s="19" t="str">
        <f>IF(A1&gt;70,_xlfn.UNICHAR(128077),_xlfn.UNICHAR(128078))</f>
        <v>👍</v>
      </c>
    </row>
    <row r="94" spans="1:1">
      <c r="A94" s="10" t="s">
        <v>872</v>
      </c>
    </row>
    <row r="98" spans="1:1" ht="15.6">
      <c r="A98" s="52" t="s">
        <v>873</v>
      </c>
    </row>
    <row r="100" spans="1:1">
      <c r="A100" s="19" t="str">
        <f>"Status: "&amp;_xlfn.UNICHAR(9989)</f>
        <v>Status: ✅</v>
      </c>
    </row>
    <row r="102" spans="1:1">
      <c r="A102" s="10" t="s">
        <v>874</v>
      </c>
    </row>
    <row r="106" spans="1:1" ht="15.6">
      <c r="A106" s="52" t="s">
        <v>875</v>
      </c>
    </row>
    <row r="108" spans="1:1">
      <c r="A108" s="19" t="str">
        <f>_xlfn.UNICHAR(ROW()+64)</f>
        <v>¬</v>
      </c>
    </row>
    <row r="110" spans="1:1">
      <c r="A110" s="10" t="s">
        <v>876</v>
      </c>
    </row>
    <row r="114" spans="1:1" ht="17.399999999999999">
      <c r="A114" s="35" t="s">
        <v>877</v>
      </c>
    </row>
    <row r="115" spans="1:1">
      <c r="A115" s="15"/>
    </row>
    <row r="116" spans="1:1">
      <c r="A116" s="36" t="s">
        <v>878</v>
      </c>
    </row>
    <row r="120" spans="1:1" ht="22.2">
      <c r="A120" s="14" t="s">
        <v>879</v>
      </c>
    </row>
    <row r="122" spans="1:1">
      <c r="A122" s="6" t="s">
        <v>880</v>
      </c>
    </row>
    <row r="124" spans="1:1" ht="17.399999999999999">
      <c r="A124" s="35" t="s">
        <v>881</v>
      </c>
    </row>
    <row r="126" spans="1:1">
      <c r="A126" s="6" t="s">
        <v>882</v>
      </c>
    </row>
    <row r="128" spans="1:1" ht="15.6">
      <c r="A128" s="52" t="s">
        <v>883</v>
      </c>
    </row>
    <row r="130" spans="1:2">
      <c r="A130" s="19" t="e">
        <f>(A1/86400)+DATE(1970,1,1)</f>
        <v>#VALUE!</v>
      </c>
    </row>
    <row r="132" spans="1:2">
      <c r="A132" s="6" t="s">
        <v>884</v>
      </c>
    </row>
    <row r="136" spans="1:2" ht="22.2">
      <c r="A136" s="14" t="s">
        <v>885</v>
      </c>
    </row>
    <row r="138" spans="1:2">
      <c r="A138" s="43" t="s">
        <v>405</v>
      </c>
      <c r="B138" s="43" t="s">
        <v>886</v>
      </c>
    </row>
    <row r="139" spans="1:2" ht="28.8">
      <c r="A139" s="44" t="s">
        <v>887</v>
      </c>
      <c r="B139" s="44" t="s">
        <v>888</v>
      </c>
    </row>
    <row r="140" spans="1:2" ht="28.8">
      <c r="A140" s="44" t="s">
        <v>889</v>
      </c>
      <c r="B140" s="44" t="s">
        <v>888</v>
      </c>
    </row>
    <row r="141" spans="1:2" ht="28.8">
      <c r="A141" s="44" t="s">
        <v>890</v>
      </c>
      <c r="B141" s="44" t="s">
        <v>888</v>
      </c>
    </row>
    <row r="142" spans="1:2" ht="26.4">
      <c r="A142" s="44" t="s">
        <v>891</v>
      </c>
      <c r="B142" s="44" t="s">
        <v>888</v>
      </c>
    </row>
    <row r="145" spans="1:1">
      <c r="A145" s="6"/>
    </row>
  </sheetData>
  <mergeCells count="1">
    <mergeCell ref="A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D9"/>
  <sheetViews>
    <sheetView workbookViewId="0">
      <selection activeCell="D3" sqref="D3"/>
    </sheetView>
  </sheetViews>
  <sheetFormatPr defaultColWidth="9" defaultRowHeight="14.4"/>
  <cols>
    <col min="2" max="2" width="20.88671875" customWidth="1"/>
    <col min="3" max="3" width="20.44140625" customWidth="1"/>
  </cols>
  <sheetData>
    <row r="1" spans="2:4" ht="17.399999999999999">
      <c r="B1" s="181" t="s">
        <v>892</v>
      </c>
      <c r="C1" s="182"/>
    </row>
    <row r="2" spans="2:4">
      <c r="B2" s="47" t="s">
        <v>241</v>
      </c>
      <c r="C2" s="48" t="s">
        <v>189</v>
      </c>
    </row>
    <row r="3" spans="2:4">
      <c r="B3" s="49" t="s">
        <v>85</v>
      </c>
      <c r="C3" s="9" t="b">
        <f>OR(B3="Red",B3="Green")</f>
        <v>1</v>
      </c>
      <c r="D3" t="b">
        <f>OR(B3="Red",B3="Blue")</f>
        <v>1</v>
      </c>
    </row>
    <row r="4" spans="2:4">
      <c r="B4" s="49" t="s">
        <v>87</v>
      </c>
      <c r="C4" s="9" t="b">
        <f>OR(B4="Red",B4="Green")</f>
        <v>0</v>
      </c>
    </row>
    <row r="5" spans="2:4">
      <c r="B5" s="49" t="s">
        <v>89</v>
      </c>
      <c r="C5" s="9" t="b">
        <f t="shared" ref="C5:C9" si="0">OR(B5="Red",B5="Green")</f>
        <v>1</v>
      </c>
    </row>
    <row r="6" spans="2:4">
      <c r="B6" s="49" t="s">
        <v>85</v>
      </c>
      <c r="C6" s="9" t="b">
        <f t="shared" si="0"/>
        <v>1</v>
      </c>
    </row>
    <row r="7" spans="2:4">
      <c r="B7" s="49" t="s">
        <v>87</v>
      </c>
      <c r="C7" s="9" t="b">
        <f t="shared" si="0"/>
        <v>0</v>
      </c>
    </row>
    <row r="8" spans="2:4">
      <c r="B8" s="49" t="s">
        <v>893</v>
      </c>
      <c r="C8" s="9" t="b">
        <f t="shared" si="0"/>
        <v>0</v>
      </c>
    </row>
    <row r="9" spans="2:4">
      <c r="B9" s="49" t="s">
        <v>252</v>
      </c>
      <c r="C9" s="9" t="b">
        <f t="shared" si="0"/>
        <v>0</v>
      </c>
    </row>
  </sheetData>
  <mergeCells count="1">
    <mergeCell ref="B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6"/>
  <sheetViews>
    <sheetView workbookViewId="0">
      <selection activeCell="F2" sqref="F2"/>
    </sheetView>
  </sheetViews>
  <sheetFormatPr defaultColWidth="9" defaultRowHeight="14.4"/>
  <cols>
    <col min="3" max="3" width="18.77734375" customWidth="1"/>
    <col min="4" max="4" width="22.109375" customWidth="1"/>
  </cols>
  <sheetData>
    <row r="1" spans="1:7" ht="17.399999999999999">
      <c r="A1" s="183" t="s">
        <v>894</v>
      </c>
      <c r="B1" s="183"/>
      <c r="C1" s="183"/>
      <c r="D1" s="183"/>
      <c r="E1" s="183"/>
      <c r="F1" s="183"/>
      <c r="G1" s="183"/>
    </row>
    <row r="2" spans="1:7">
      <c r="C2" s="46">
        <v>84</v>
      </c>
      <c r="D2" s="9" t="b">
        <f>AND(C2&gt;75,C2&lt;95)</f>
        <v>1</v>
      </c>
    </row>
    <row r="3" spans="1:7">
      <c r="C3" s="46">
        <v>84</v>
      </c>
      <c r="D3" s="9"/>
    </row>
    <row r="4" spans="1:7">
      <c r="C4" s="46">
        <v>70</v>
      </c>
      <c r="D4" s="9"/>
    </row>
    <row r="5" spans="1:7">
      <c r="C5" s="46">
        <v>87</v>
      </c>
      <c r="D5" s="9"/>
    </row>
    <row r="6" spans="1:7">
      <c r="C6" s="46">
        <v>86</v>
      </c>
      <c r="D6" s="9"/>
    </row>
    <row r="7" spans="1:7">
      <c r="C7" s="46">
        <v>84</v>
      </c>
      <c r="D7" s="9"/>
    </row>
    <row r="8" spans="1:7">
      <c r="C8" s="46">
        <v>91</v>
      </c>
      <c r="D8" s="9"/>
    </row>
    <row r="9" spans="1:7">
      <c r="C9" s="46">
        <v>90</v>
      </c>
      <c r="D9" s="9"/>
    </row>
    <row r="10" spans="1:7">
      <c r="C10" s="46">
        <v>91</v>
      </c>
      <c r="D10" s="9"/>
    </row>
    <row r="11" spans="1:7">
      <c r="C11" s="46">
        <v>90</v>
      </c>
      <c r="D11" s="9"/>
    </row>
    <row r="12" spans="1:7">
      <c r="C12" s="46">
        <v>82</v>
      </c>
      <c r="D12" s="9"/>
    </row>
    <row r="13" spans="1:7">
      <c r="C13" s="46">
        <v>90</v>
      </c>
      <c r="D13" s="9"/>
    </row>
    <row r="14" spans="1:7">
      <c r="C14" s="46">
        <v>97</v>
      </c>
      <c r="D14" s="9"/>
    </row>
    <row r="15" spans="1:7">
      <c r="C15" s="46">
        <v>90</v>
      </c>
      <c r="D15" s="9"/>
    </row>
    <row r="16" spans="1:7">
      <c r="C16" s="46">
        <v>99</v>
      </c>
      <c r="D16" s="9"/>
    </row>
  </sheetData>
  <mergeCells count="1">
    <mergeCell ref="A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99"/>
  <sheetViews>
    <sheetView workbookViewId="0">
      <selection activeCell="I7" sqref="I7"/>
    </sheetView>
  </sheetViews>
  <sheetFormatPr defaultColWidth="9" defaultRowHeight="14.4"/>
  <cols>
    <col min="14" max="14" width="19.88671875" customWidth="1"/>
  </cols>
  <sheetData>
    <row r="1" spans="1:12" ht="15.6">
      <c r="A1" s="184" t="s">
        <v>895</v>
      </c>
      <c r="B1" s="184"/>
      <c r="C1" s="184"/>
      <c r="D1" s="184"/>
      <c r="E1" s="184"/>
      <c r="F1" s="184"/>
      <c r="L1" s="6" t="s">
        <v>896</v>
      </c>
    </row>
    <row r="2" spans="1:12">
      <c r="A2" s="41" t="s">
        <v>4</v>
      </c>
      <c r="B2" s="41" t="s">
        <v>897</v>
      </c>
      <c r="C2" s="41" t="s">
        <v>319</v>
      </c>
      <c r="D2" s="41" t="s">
        <v>898</v>
      </c>
      <c r="E2" s="41" t="s">
        <v>83</v>
      </c>
      <c r="F2" s="41" t="s">
        <v>899</v>
      </c>
      <c r="H2" s="103" t="s">
        <v>1239</v>
      </c>
      <c r="L2" s="6" t="s">
        <v>900</v>
      </c>
    </row>
    <row r="3" spans="1:12">
      <c r="A3" s="12" t="s">
        <v>109</v>
      </c>
      <c r="B3" s="42">
        <v>95</v>
      </c>
      <c r="C3" s="42">
        <v>88</v>
      </c>
      <c r="D3" s="42">
        <v>99</v>
      </c>
      <c r="E3" s="9">
        <f>SUM(B3:D3)</f>
        <v>282</v>
      </c>
      <c r="F3" s="9">
        <f>RANK(E3,$E$3:$E$20)</f>
        <v>1</v>
      </c>
      <c r="G3">
        <f t="shared" ref="G3:G20" si="0">RANK(D3,$D$3:$D$20)</f>
        <v>1</v>
      </c>
      <c r="H3">
        <f>LARGE(C3:C20,5)</f>
        <v>89</v>
      </c>
    </row>
    <row r="4" spans="1:12">
      <c r="A4" s="12" t="s">
        <v>17</v>
      </c>
      <c r="B4" s="42">
        <v>93</v>
      </c>
      <c r="C4" s="42">
        <v>56</v>
      </c>
      <c r="D4" s="42">
        <v>98</v>
      </c>
      <c r="E4" s="9">
        <f t="shared" ref="E4:E20" si="1">SUM(B4:D4)</f>
        <v>247</v>
      </c>
      <c r="F4" s="9"/>
      <c r="G4">
        <f t="shared" si="0"/>
        <v>2</v>
      </c>
    </row>
    <row r="5" spans="1:12">
      <c r="A5" s="12" t="s">
        <v>92</v>
      </c>
      <c r="B5" s="42">
        <v>93</v>
      </c>
      <c r="C5" s="42">
        <v>99</v>
      </c>
      <c r="D5" s="42">
        <v>89</v>
      </c>
      <c r="E5" s="9">
        <f t="shared" si="1"/>
        <v>281</v>
      </c>
      <c r="F5" s="9"/>
      <c r="G5">
        <f t="shared" si="0"/>
        <v>14</v>
      </c>
    </row>
    <row r="6" spans="1:12" ht="22.2">
      <c r="A6" s="12" t="s">
        <v>901</v>
      </c>
      <c r="B6" s="42">
        <v>92</v>
      </c>
      <c r="C6" s="42">
        <v>87</v>
      </c>
      <c r="D6" s="42">
        <v>91</v>
      </c>
      <c r="E6" s="9">
        <f t="shared" si="1"/>
        <v>270</v>
      </c>
      <c r="F6" s="9"/>
      <c r="G6">
        <f t="shared" si="0"/>
        <v>13</v>
      </c>
      <c r="L6" s="14" t="s">
        <v>299</v>
      </c>
    </row>
    <row r="7" spans="1:12">
      <c r="A7" s="12" t="s">
        <v>9</v>
      </c>
      <c r="B7" s="42">
        <v>91</v>
      </c>
      <c r="C7" s="42">
        <v>48</v>
      </c>
      <c r="D7" s="42">
        <v>92</v>
      </c>
      <c r="E7" s="9">
        <f t="shared" si="1"/>
        <v>231</v>
      </c>
      <c r="F7" s="9"/>
      <c r="G7">
        <f t="shared" si="0"/>
        <v>11</v>
      </c>
    </row>
    <row r="8" spans="1:12">
      <c r="A8" s="12" t="s">
        <v>902</v>
      </c>
      <c r="B8" s="42">
        <v>80</v>
      </c>
      <c r="C8" s="42">
        <v>98</v>
      </c>
      <c r="D8" s="42">
        <v>93</v>
      </c>
      <c r="E8" s="9">
        <f t="shared" si="1"/>
        <v>271</v>
      </c>
      <c r="F8" s="9"/>
      <c r="G8">
        <f t="shared" si="0"/>
        <v>9</v>
      </c>
      <c r="L8" s="19" t="s">
        <v>903</v>
      </c>
    </row>
    <row r="9" spans="1:12">
      <c r="A9" s="12" t="s">
        <v>904</v>
      </c>
      <c r="B9" s="42">
        <v>79</v>
      </c>
      <c r="C9" s="42">
        <v>89</v>
      </c>
      <c r="D9" s="42">
        <v>94</v>
      </c>
      <c r="E9" s="9">
        <f t="shared" si="1"/>
        <v>262</v>
      </c>
      <c r="F9" s="9"/>
      <c r="G9">
        <f t="shared" si="0"/>
        <v>7</v>
      </c>
      <c r="L9" s="15"/>
    </row>
    <row r="10" spans="1:12">
      <c r="A10" s="12" t="s">
        <v>905</v>
      </c>
      <c r="B10" s="42">
        <v>89</v>
      </c>
      <c r="C10" s="42">
        <v>73</v>
      </c>
      <c r="D10" s="42">
        <v>96</v>
      </c>
      <c r="E10" s="9">
        <f t="shared" si="1"/>
        <v>258</v>
      </c>
      <c r="F10" s="9"/>
      <c r="G10">
        <f t="shared" si="0"/>
        <v>5</v>
      </c>
      <c r="L10" s="16" t="s">
        <v>906</v>
      </c>
    </row>
    <row r="11" spans="1:12">
      <c r="A11" s="12" t="s">
        <v>907</v>
      </c>
      <c r="B11" s="42">
        <v>56</v>
      </c>
      <c r="C11" s="42">
        <v>96</v>
      </c>
      <c r="D11" s="42">
        <v>98</v>
      </c>
      <c r="E11" s="9">
        <f t="shared" si="1"/>
        <v>250</v>
      </c>
      <c r="F11" s="9"/>
      <c r="G11">
        <f t="shared" si="0"/>
        <v>2</v>
      </c>
      <c r="L11" s="15"/>
    </row>
    <row r="12" spans="1:12">
      <c r="A12" s="12" t="s">
        <v>908</v>
      </c>
      <c r="B12" s="42">
        <v>78</v>
      </c>
      <c r="C12" s="42">
        <v>65</v>
      </c>
      <c r="D12" s="42">
        <v>93</v>
      </c>
      <c r="E12" s="9">
        <f t="shared" si="1"/>
        <v>236</v>
      </c>
      <c r="F12" s="9"/>
      <c r="G12">
        <f t="shared" si="0"/>
        <v>9</v>
      </c>
      <c r="L12" s="16" t="s">
        <v>909</v>
      </c>
    </row>
    <row r="13" spans="1:12">
      <c r="A13" s="12" t="s">
        <v>910</v>
      </c>
      <c r="B13" s="42">
        <v>90</v>
      </c>
      <c r="C13" s="42">
        <v>95</v>
      </c>
      <c r="D13" s="42">
        <v>92</v>
      </c>
      <c r="E13" s="9">
        <f t="shared" si="1"/>
        <v>277</v>
      </c>
      <c r="F13" s="9"/>
      <c r="G13">
        <f t="shared" si="0"/>
        <v>11</v>
      </c>
      <c r="L13" s="15"/>
    </row>
    <row r="14" spans="1:12">
      <c r="A14" s="12" t="s">
        <v>911</v>
      </c>
      <c r="B14" s="42">
        <v>94</v>
      </c>
      <c r="C14" s="42">
        <v>88</v>
      </c>
      <c r="D14" s="42">
        <v>94</v>
      </c>
      <c r="E14" s="9">
        <f t="shared" si="1"/>
        <v>276</v>
      </c>
      <c r="F14" s="9"/>
      <c r="G14">
        <f t="shared" si="0"/>
        <v>7</v>
      </c>
      <c r="L14" s="16" t="s">
        <v>912</v>
      </c>
    </row>
    <row r="15" spans="1:12">
      <c r="A15" s="12" t="s">
        <v>913</v>
      </c>
      <c r="B15" s="42">
        <v>59</v>
      </c>
      <c r="C15" s="42">
        <v>84</v>
      </c>
      <c r="D15" s="42">
        <v>98</v>
      </c>
      <c r="E15" s="9">
        <f t="shared" si="1"/>
        <v>241</v>
      </c>
      <c r="F15" s="9"/>
      <c r="G15">
        <f t="shared" si="0"/>
        <v>2</v>
      </c>
      <c r="L15" s="15"/>
    </row>
    <row r="16" spans="1:12">
      <c r="A16" s="12" t="s">
        <v>914</v>
      </c>
      <c r="B16" s="42">
        <v>89</v>
      </c>
      <c r="C16" s="42">
        <v>86</v>
      </c>
      <c r="D16" s="42">
        <v>96</v>
      </c>
      <c r="E16" s="9">
        <f t="shared" si="1"/>
        <v>271</v>
      </c>
      <c r="F16" s="9"/>
      <c r="G16">
        <f t="shared" si="0"/>
        <v>5</v>
      </c>
      <c r="L16" s="15"/>
    </row>
    <row r="17" spans="1:12">
      <c r="A17" s="12" t="s">
        <v>365</v>
      </c>
      <c r="B17" s="42">
        <v>77</v>
      </c>
      <c r="C17" s="42">
        <v>81</v>
      </c>
      <c r="D17" s="42">
        <v>84</v>
      </c>
      <c r="E17" s="9">
        <f t="shared" si="1"/>
        <v>242</v>
      </c>
      <c r="F17" s="9"/>
      <c r="G17">
        <f t="shared" si="0"/>
        <v>15</v>
      </c>
      <c r="L17" s="20"/>
    </row>
    <row r="18" spans="1:12">
      <c r="A18" s="12" t="s">
        <v>915</v>
      </c>
      <c r="B18" s="42">
        <v>96</v>
      </c>
      <c r="C18" s="42">
        <v>82</v>
      </c>
      <c r="D18" s="42">
        <v>82</v>
      </c>
      <c r="E18" s="9">
        <f t="shared" si="1"/>
        <v>260</v>
      </c>
      <c r="F18" s="9"/>
      <c r="G18">
        <f t="shared" si="0"/>
        <v>17</v>
      </c>
      <c r="L18" s="33" t="s">
        <v>916</v>
      </c>
    </row>
    <row r="19" spans="1:12">
      <c r="A19" s="12" t="s">
        <v>917</v>
      </c>
      <c r="B19" s="42">
        <v>77</v>
      </c>
      <c r="C19" s="42">
        <v>83</v>
      </c>
      <c r="D19" s="42">
        <v>83</v>
      </c>
      <c r="E19" s="9">
        <f t="shared" si="1"/>
        <v>243</v>
      </c>
      <c r="F19" s="9"/>
      <c r="G19">
        <f t="shared" si="0"/>
        <v>16</v>
      </c>
      <c r="L19" s="20"/>
    </row>
    <row r="20" spans="1:12">
      <c r="A20" s="12" t="s">
        <v>918</v>
      </c>
      <c r="B20" s="42">
        <v>99</v>
      </c>
      <c r="C20" s="42">
        <v>80</v>
      </c>
      <c r="D20" s="42">
        <v>81</v>
      </c>
      <c r="E20" s="9">
        <f t="shared" si="1"/>
        <v>260</v>
      </c>
      <c r="F20" s="9"/>
      <c r="G20">
        <f t="shared" si="0"/>
        <v>18</v>
      </c>
      <c r="L20" s="33" t="s">
        <v>919</v>
      </c>
    </row>
    <row r="24" spans="1:12" ht="22.2">
      <c r="L24" s="14" t="s">
        <v>920</v>
      </c>
    </row>
    <row r="26" spans="1:12">
      <c r="L26" s="6" t="s">
        <v>921</v>
      </c>
    </row>
    <row r="27" spans="1:12">
      <c r="L27" s="15"/>
    </row>
    <row r="28" spans="1:12">
      <c r="L28" s="16" t="s">
        <v>922</v>
      </c>
    </row>
    <row r="29" spans="1:12">
      <c r="L29" s="15"/>
    </row>
    <row r="30" spans="1:12">
      <c r="L30" s="16" t="s">
        <v>923</v>
      </c>
    </row>
    <row r="31" spans="1:12">
      <c r="L31" s="15"/>
    </row>
    <row r="32" spans="1:12">
      <c r="L32" s="16" t="s">
        <v>924</v>
      </c>
    </row>
    <row r="36" spans="12:12" ht="22.2">
      <c r="L36" s="14" t="s">
        <v>925</v>
      </c>
    </row>
    <row r="37" spans="12:12">
      <c r="L37" s="15"/>
    </row>
    <row r="38" spans="12:12">
      <c r="L38" s="16" t="s">
        <v>926</v>
      </c>
    </row>
    <row r="39" spans="12:12">
      <c r="L39" s="15"/>
    </row>
    <row r="40" spans="12:12">
      <c r="L40" s="16" t="s">
        <v>927</v>
      </c>
    </row>
    <row r="41" spans="12:12">
      <c r="L41" s="15"/>
    </row>
    <row r="42" spans="12:12">
      <c r="L42" s="16" t="s">
        <v>928</v>
      </c>
    </row>
    <row r="43" spans="12:12">
      <c r="L43" s="15"/>
    </row>
    <row r="44" spans="12:12">
      <c r="L44" s="16" t="s">
        <v>929</v>
      </c>
    </row>
    <row r="45" spans="12:12">
      <c r="L45" s="15"/>
    </row>
    <row r="46" spans="12:12">
      <c r="L46" s="16" t="s">
        <v>930</v>
      </c>
    </row>
    <row r="47" spans="12:12">
      <c r="L47" s="15"/>
    </row>
    <row r="48" spans="12:12">
      <c r="L48" s="17" t="s">
        <v>931</v>
      </c>
    </row>
    <row r="52" spans="12:15" ht="22.2">
      <c r="L52" s="14" t="s">
        <v>932</v>
      </c>
    </row>
    <row r="54" spans="12:15" ht="17.399999999999999">
      <c r="L54" s="35" t="s">
        <v>933</v>
      </c>
    </row>
    <row r="56" spans="12:15">
      <c r="L56" s="43" t="s">
        <v>4</v>
      </c>
      <c r="M56" s="43" t="s">
        <v>358</v>
      </c>
      <c r="N56" s="43" t="s">
        <v>242</v>
      </c>
      <c r="O56" s="43" t="s">
        <v>899</v>
      </c>
    </row>
    <row r="57" spans="12:15">
      <c r="L57" s="44" t="s">
        <v>381</v>
      </c>
      <c r="M57" s="44">
        <v>85</v>
      </c>
      <c r="N57" s="45">
        <f>RANK(85,$M$57:$M$61)</f>
        <v>3</v>
      </c>
      <c r="O57" s="44">
        <v>2</v>
      </c>
    </row>
    <row r="58" spans="12:15">
      <c r="L58" s="44" t="s">
        <v>695</v>
      </c>
      <c r="M58" s="44">
        <v>90</v>
      </c>
      <c r="N58" s="45">
        <f t="shared" ref="N58:N61" si="2">RANK(85,$M$57:$M$61)</f>
        <v>3</v>
      </c>
      <c r="O58" s="44">
        <v>1</v>
      </c>
    </row>
    <row r="59" spans="12:15">
      <c r="L59" s="44" t="s">
        <v>696</v>
      </c>
      <c r="M59" s="44">
        <v>78</v>
      </c>
      <c r="N59" s="45">
        <f t="shared" si="2"/>
        <v>3</v>
      </c>
      <c r="O59" s="44">
        <v>5</v>
      </c>
    </row>
    <row r="60" spans="12:15">
      <c r="L60" s="44" t="s">
        <v>719</v>
      </c>
      <c r="M60" s="44">
        <v>88</v>
      </c>
      <c r="N60" s="45">
        <f t="shared" si="2"/>
        <v>3</v>
      </c>
      <c r="O60" s="44">
        <v>3</v>
      </c>
    </row>
    <row r="61" spans="12:15">
      <c r="L61" s="44" t="s">
        <v>934</v>
      </c>
      <c r="M61" s="44">
        <v>82</v>
      </c>
      <c r="N61" s="45">
        <f t="shared" si="2"/>
        <v>3</v>
      </c>
      <c r="O61" s="44">
        <v>4</v>
      </c>
    </row>
    <row r="64" spans="12:15" ht="17.399999999999999">
      <c r="L64" s="35" t="s">
        <v>935</v>
      </c>
    </row>
    <row r="66" spans="12:12">
      <c r="L66" s="6" t="s">
        <v>936</v>
      </c>
    </row>
    <row r="68" spans="12:12">
      <c r="L68" s="19" t="e">
        <f>RANK(85,$B$2:$B$6,1)</f>
        <v>#N/A</v>
      </c>
    </row>
    <row r="72" spans="12:12" ht="17.399999999999999">
      <c r="L72" s="35" t="s">
        <v>937</v>
      </c>
    </row>
    <row r="74" spans="12:12">
      <c r="L74" s="6" t="s">
        <v>938</v>
      </c>
    </row>
    <row r="75" spans="12:12">
      <c r="L75" s="6" t="s">
        <v>939</v>
      </c>
    </row>
    <row r="76" spans="12:12">
      <c r="L76" s="6" t="s">
        <v>940</v>
      </c>
    </row>
    <row r="80" spans="12:12" ht="22.2">
      <c r="L80" s="14" t="s">
        <v>941</v>
      </c>
    </row>
    <row r="81" spans="12:12">
      <c r="L81" s="15"/>
    </row>
    <row r="82" spans="12:12">
      <c r="L82" s="17" t="s">
        <v>942</v>
      </c>
    </row>
    <row r="83" spans="12:12">
      <c r="L83" s="15"/>
    </row>
    <row r="84" spans="12:12">
      <c r="L84" s="17" t="s">
        <v>943</v>
      </c>
    </row>
    <row r="85" spans="12:12">
      <c r="L85" s="15"/>
    </row>
    <row r="86" spans="12:12">
      <c r="L86" s="17" t="s">
        <v>944</v>
      </c>
    </row>
    <row r="87" spans="12:12">
      <c r="L87" s="15"/>
    </row>
    <row r="88" spans="12:12">
      <c r="L88" s="17" t="s">
        <v>945</v>
      </c>
    </row>
    <row r="89" spans="12:12">
      <c r="L89" s="15"/>
    </row>
    <row r="90" spans="12:12">
      <c r="L90" s="17" t="s">
        <v>946</v>
      </c>
    </row>
    <row r="91" spans="12:12">
      <c r="L91" s="15"/>
    </row>
    <row r="92" spans="12:12">
      <c r="L92" s="17" t="s">
        <v>947</v>
      </c>
    </row>
    <row r="93" spans="12:12">
      <c r="L93" s="15"/>
    </row>
    <row r="94" spans="12:12">
      <c r="L94" s="17" t="s">
        <v>948</v>
      </c>
    </row>
    <row r="98" spans="12:12">
      <c r="L98" s="6" t="s">
        <v>949</v>
      </c>
    </row>
    <row r="99" spans="12:12">
      <c r="L99" s="6" t="s">
        <v>950</v>
      </c>
    </row>
  </sheetData>
  <sortState xmlns:xlrd2="http://schemas.microsoft.com/office/spreadsheetml/2017/richdata2" ref="G3:G20">
    <sortCondition ref="G3:G20"/>
  </sortState>
  <mergeCells count="1">
    <mergeCell ref="A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23"/>
  <sheetViews>
    <sheetView workbookViewId="0">
      <selection activeCell="D19" sqref="D19"/>
    </sheetView>
  </sheetViews>
  <sheetFormatPr defaultColWidth="9" defaultRowHeight="14.4"/>
  <cols>
    <col min="1" max="1" width="26.109375" customWidth="1"/>
    <col min="2" max="2" width="18.109375" customWidth="1"/>
    <col min="3" max="3" width="11.5546875" customWidth="1"/>
    <col min="4" max="4" width="12.44140625" customWidth="1"/>
    <col min="6" max="6" width="15.88671875" customWidth="1"/>
    <col min="13" max="13" width="14.88671875" customWidth="1"/>
    <col min="14" max="14" width="20.88671875" customWidth="1"/>
  </cols>
  <sheetData>
    <row r="1" spans="1:15" ht="17.399999999999999">
      <c r="A1" s="37" t="s">
        <v>951</v>
      </c>
      <c r="B1" s="37" t="s">
        <v>952</v>
      </c>
      <c r="I1" s="40" t="s">
        <v>4</v>
      </c>
      <c r="J1" s="40" t="s">
        <v>953</v>
      </c>
      <c r="K1" s="40" t="s">
        <v>954</v>
      </c>
      <c r="L1" s="40" t="s">
        <v>955</v>
      </c>
      <c r="M1" s="40" t="s">
        <v>956</v>
      </c>
      <c r="N1" s="40" t="s">
        <v>957</v>
      </c>
      <c r="O1" s="10"/>
    </row>
    <row r="2" spans="1:15">
      <c r="A2" s="12" t="s">
        <v>958</v>
      </c>
      <c r="B2" s="9" t="str">
        <f>IFERROR(A2*1,"Error Value")</f>
        <v>Error Value</v>
      </c>
      <c r="C2" t="str">
        <f>IFERROR(A2,"Not Found In Cell")</f>
        <v>Umar All</v>
      </c>
      <c r="I2" s="12" t="s">
        <v>959</v>
      </c>
      <c r="J2" s="9">
        <v>56</v>
      </c>
      <c r="K2" s="9">
        <v>67</v>
      </c>
      <c r="L2" s="9">
        <v>88</v>
      </c>
      <c r="M2" s="9">
        <f>AVERAGE(J2:L2)</f>
        <v>70.333333333333329</v>
      </c>
      <c r="N2" s="9">
        <f>IFERROR(AVERAGE(J2:L2),"No Average Calculate")</f>
        <v>70.333333333333329</v>
      </c>
    </row>
    <row r="3" spans="1:15">
      <c r="A3" s="9">
        <v>5040</v>
      </c>
      <c r="B3" s="9">
        <f t="shared" ref="B3:B10" si="0">IFERROR(A3*1,"Error Value")</f>
        <v>5040</v>
      </c>
      <c r="C3">
        <f t="shared" ref="C3:C10" si="1">IFERROR(A3,"Not Found In Cell")</f>
        <v>5040</v>
      </c>
      <c r="I3" s="12" t="s">
        <v>960</v>
      </c>
      <c r="J3" s="9"/>
      <c r="K3" s="9"/>
      <c r="L3" s="9"/>
      <c r="M3" s="9" t="e">
        <f t="shared" ref="M3:M6" si="2">AVERAGE(J3:L3)</f>
        <v>#DIV/0!</v>
      </c>
      <c r="N3" s="9" t="str">
        <f t="shared" ref="N3:N6" si="3">IFERROR(AVERAGE(J3:L3),"No Average Calculate")</f>
        <v>No Average Calculate</v>
      </c>
    </row>
    <row r="4" spans="1:15">
      <c r="A4" s="12" t="s">
        <v>961</v>
      </c>
      <c r="B4" s="9" t="str">
        <f t="shared" si="0"/>
        <v>Error Value</v>
      </c>
      <c r="C4" t="str">
        <f t="shared" si="1"/>
        <v>Jawed Akhtar</v>
      </c>
      <c r="I4" s="12" t="s">
        <v>962</v>
      </c>
      <c r="J4" s="9"/>
      <c r="K4" s="9"/>
      <c r="L4" s="9"/>
      <c r="M4" s="9" t="e">
        <f t="shared" si="2"/>
        <v>#DIV/0!</v>
      </c>
      <c r="N4" s="9" t="str">
        <f t="shared" si="3"/>
        <v>No Average Calculate</v>
      </c>
    </row>
    <row r="5" spans="1:15">
      <c r="A5" s="9">
        <v>7666</v>
      </c>
      <c r="B5" s="9">
        <f t="shared" si="0"/>
        <v>7666</v>
      </c>
      <c r="C5">
        <f t="shared" si="1"/>
        <v>7666</v>
      </c>
      <c r="I5" s="12" t="s">
        <v>963</v>
      </c>
      <c r="J5" s="9"/>
      <c r="K5" s="9"/>
      <c r="L5" s="9"/>
      <c r="M5" s="9" t="e">
        <f t="shared" si="2"/>
        <v>#DIV/0!</v>
      </c>
      <c r="N5" s="9" t="str">
        <f t="shared" si="3"/>
        <v>No Average Calculate</v>
      </c>
    </row>
    <row r="6" spans="1:15">
      <c r="A6" s="9">
        <v>5055</v>
      </c>
      <c r="B6" s="9">
        <f t="shared" si="0"/>
        <v>5055</v>
      </c>
      <c r="C6">
        <f t="shared" si="1"/>
        <v>5055</v>
      </c>
      <c r="I6" s="12" t="s">
        <v>964</v>
      </c>
      <c r="J6" s="9"/>
      <c r="K6" s="9"/>
      <c r="L6" s="9"/>
      <c r="M6" s="9" t="e">
        <f t="shared" si="2"/>
        <v>#DIV/0!</v>
      </c>
      <c r="N6" s="9" t="str">
        <f t="shared" si="3"/>
        <v>No Average Calculate</v>
      </c>
    </row>
    <row r="7" spans="1:15">
      <c r="A7" s="12" t="s">
        <v>965</v>
      </c>
      <c r="B7" s="9" t="str">
        <f t="shared" si="0"/>
        <v>Error Value</v>
      </c>
      <c r="C7" t="str">
        <f t="shared" si="1"/>
        <v>Afser Khan</v>
      </c>
    </row>
    <row r="8" spans="1:15">
      <c r="A8" s="9">
        <v>40440</v>
      </c>
      <c r="B8" s="9">
        <f t="shared" si="0"/>
        <v>40440</v>
      </c>
      <c r="C8">
        <f t="shared" si="1"/>
        <v>40440</v>
      </c>
    </row>
    <row r="9" spans="1:15">
      <c r="A9" s="12" t="s">
        <v>966</v>
      </c>
      <c r="B9" s="9" t="str">
        <f t="shared" si="0"/>
        <v>Error Value</v>
      </c>
      <c r="C9" t="str">
        <f t="shared" si="1"/>
        <v>Rajesh Kumar</v>
      </c>
    </row>
    <row r="10" spans="1:15">
      <c r="A10" s="9">
        <v>900</v>
      </c>
      <c r="B10" s="9">
        <f t="shared" si="0"/>
        <v>900</v>
      </c>
      <c r="C10">
        <f t="shared" si="1"/>
        <v>900</v>
      </c>
    </row>
    <row r="13" spans="1:15" ht="17.399999999999999">
      <c r="A13" s="38" t="s">
        <v>169</v>
      </c>
      <c r="B13" s="38" t="s">
        <v>967</v>
      </c>
      <c r="C13" s="38" t="s">
        <v>286</v>
      </c>
      <c r="D13" s="38" t="s">
        <v>968</v>
      </c>
    </row>
    <row r="14" spans="1:15">
      <c r="A14" s="1" t="s">
        <v>113</v>
      </c>
      <c r="B14" s="1">
        <v>254856</v>
      </c>
      <c r="C14" s="1">
        <v>12</v>
      </c>
      <c r="D14" s="1">
        <f>B14/C14</f>
        <v>21238</v>
      </c>
      <c r="E14" s="39">
        <f>IFERROR(B14/C14,"-")</f>
        <v>21238</v>
      </c>
      <c r="F14">
        <f>IFERROR(B14/C14,"No Value Found")</f>
        <v>21238</v>
      </c>
    </row>
    <row r="15" spans="1:15">
      <c r="A15" s="1" t="s">
        <v>110</v>
      </c>
      <c r="B15" s="1">
        <v>457892</v>
      </c>
      <c r="C15" s="1">
        <v>5</v>
      </c>
      <c r="D15" s="1">
        <f t="shared" ref="D15:D23" si="4">B15/C15</f>
        <v>91578.4</v>
      </c>
      <c r="E15" s="39">
        <f t="shared" ref="E15:E23" si="5">IFERROR(B15/C15,"-")</f>
        <v>91578.4</v>
      </c>
      <c r="F15">
        <f t="shared" ref="F15:F23" si="6">IFERROR(B15/C15,"No Value Found")</f>
        <v>91578.4</v>
      </c>
    </row>
    <row r="16" spans="1:15">
      <c r="A16" s="1" t="s">
        <v>969</v>
      </c>
      <c r="B16" s="1">
        <v>67890</v>
      </c>
      <c r="C16" s="1">
        <v>85</v>
      </c>
      <c r="D16" s="1">
        <f t="shared" si="4"/>
        <v>798.70588235294122</v>
      </c>
      <c r="E16" s="39">
        <f t="shared" si="5"/>
        <v>798.70588235294122</v>
      </c>
      <c r="F16">
        <f t="shared" si="6"/>
        <v>798.70588235294122</v>
      </c>
    </row>
    <row r="17" spans="1:6">
      <c r="A17" s="1" t="s">
        <v>121</v>
      </c>
      <c r="B17" s="1">
        <v>673452</v>
      </c>
      <c r="C17" s="1">
        <v>56</v>
      </c>
      <c r="D17" s="1">
        <f t="shared" si="4"/>
        <v>12025.928571428571</v>
      </c>
      <c r="E17" s="39">
        <f t="shared" si="5"/>
        <v>12025.928571428571</v>
      </c>
      <c r="F17">
        <f t="shared" si="6"/>
        <v>12025.928571428571</v>
      </c>
    </row>
    <row r="18" spans="1:6">
      <c r="A18" s="1" t="s">
        <v>970</v>
      </c>
      <c r="B18" s="1">
        <v>87456</v>
      </c>
      <c r="C18" s="1"/>
      <c r="D18" s="1" t="e">
        <f>B18/C18</f>
        <v>#DIV/0!</v>
      </c>
      <c r="E18" s="39" t="str">
        <f t="shared" si="5"/>
        <v>-</v>
      </c>
      <c r="F18" t="str">
        <f t="shared" si="6"/>
        <v>No Value Found</v>
      </c>
    </row>
    <row r="19" spans="1:6">
      <c r="A19" s="1" t="s">
        <v>290</v>
      </c>
      <c r="B19" s="1">
        <v>89054</v>
      </c>
      <c r="C19" s="1">
        <v>25</v>
      </c>
      <c r="D19" s="1">
        <f t="shared" si="4"/>
        <v>3562.16</v>
      </c>
      <c r="E19" s="39">
        <f t="shared" si="5"/>
        <v>3562.16</v>
      </c>
      <c r="F19">
        <f t="shared" si="6"/>
        <v>3562.16</v>
      </c>
    </row>
    <row r="20" spans="1:6">
      <c r="A20" s="1" t="s">
        <v>293</v>
      </c>
      <c r="B20" s="1">
        <v>5463373</v>
      </c>
      <c r="C20" s="1"/>
      <c r="D20" s="1" t="e">
        <f t="shared" si="4"/>
        <v>#DIV/0!</v>
      </c>
      <c r="E20" s="39" t="str">
        <f t="shared" si="5"/>
        <v>-</v>
      </c>
      <c r="F20" t="str">
        <f t="shared" si="6"/>
        <v>No Value Found</v>
      </c>
    </row>
    <row r="21" spans="1:6">
      <c r="A21" s="1" t="s">
        <v>971</v>
      </c>
      <c r="B21" s="1">
        <v>746382</v>
      </c>
      <c r="C21" s="1">
        <v>96</v>
      </c>
      <c r="D21" s="1">
        <f t="shared" si="4"/>
        <v>7774.8125</v>
      </c>
      <c r="E21" s="39">
        <f t="shared" si="5"/>
        <v>7774.8125</v>
      </c>
      <c r="F21">
        <f t="shared" si="6"/>
        <v>7774.8125</v>
      </c>
    </row>
    <row r="22" spans="1:6">
      <c r="A22" s="1" t="s">
        <v>972</v>
      </c>
      <c r="B22" s="1">
        <v>547558</v>
      </c>
      <c r="C22" s="1">
        <v>145</v>
      </c>
      <c r="D22" s="1">
        <f t="shared" si="4"/>
        <v>3776.2620689655173</v>
      </c>
      <c r="E22" s="39">
        <f t="shared" si="5"/>
        <v>3776.2620689655173</v>
      </c>
      <c r="F22">
        <f t="shared" si="6"/>
        <v>3776.2620689655173</v>
      </c>
    </row>
    <row r="23" spans="1:6">
      <c r="A23" s="1" t="s">
        <v>973</v>
      </c>
      <c r="B23" s="1">
        <v>574732</v>
      </c>
      <c r="C23" s="1"/>
      <c r="D23" s="1" t="e">
        <f t="shared" si="4"/>
        <v>#DIV/0!</v>
      </c>
      <c r="E23" t="str">
        <f t="shared" si="5"/>
        <v>-</v>
      </c>
      <c r="F23" t="str">
        <f t="shared" si="6"/>
        <v>No Value Found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5"/>
  <sheetViews>
    <sheetView topLeftCell="D1" workbookViewId="0">
      <selection activeCell="O25" sqref="O25"/>
    </sheetView>
  </sheetViews>
  <sheetFormatPr defaultColWidth="9" defaultRowHeight="14.4"/>
  <cols>
    <col min="6" max="8" width="11" bestFit="1" customWidth="1"/>
  </cols>
  <sheetData>
    <row r="1" spans="1:8">
      <c r="A1" s="6" t="s">
        <v>974</v>
      </c>
    </row>
    <row r="2" spans="1:8">
      <c r="A2" s="6" t="s">
        <v>975</v>
      </c>
    </row>
    <row r="3" spans="1:8">
      <c r="A3" s="6" t="s">
        <v>976</v>
      </c>
    </row>
    <row r="7" spans="1:8">
      <c r="G7" s="104"/>
    </row>
    <row r="8" spans="1:8">
      <c r="G8" s="104"/>
    </row>
    <row r="9" spans="1:8">
      <c r="G9" s="104"/>
    </row>
    <row r="10" spans="1:8">
      <c r="G10" s="104"/>
    </row>
    <row r="11" spans="1:8">
      <c r="F11" s="104">
        <v>37110</v>
      </c>
      <c r="G11" s="104"/>
      <c r="H11" s="104">
        <v>45876</v>
      </c>
    </row>
    <row r="12" spans="1:8">
      <c r="G12" s="104"/>
    </row>
    <row r="13" spans="1:8">
      <c r="G13" s="104"/>
    </row>
    <row r="14" spans="1:8">
      <c r="G14" s="104"/>
    </row>
    <row r="15" spans="1:8">
      <c r="G15">
        <f>YEARFRAC(F11,H11)</f>
        <v>24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21"/>
  <sheetViews>
    <sheetView topLeftCell="A98" workbookViewId="0">
      <selection activeCell="F8" sqref="F8"/>
    </sheetView>
  </sheetViews>
  <sheetFormatPr defaultColWidth="9" defaultRowHeight="14.4"/>
  <cols>
    <col min="1" max="1" width="14.109375" customWidth="1"/>
    <col min="2" max="2" width="16.109375" customWidth="1"/>
  </cols>
  <sheetData>
    <row r="1" spans="1:15">
      <c r="A1" s="32" t="s">
        <v>977</v>
      </c>
    </row>
    <row r="2" spans="1:15">
      <c r="A2" s="166" t="s">
        <v>978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</row>
    <row r="3" spans="1:15">
      <c r="A3" s="166" t="s">
        <v>979</v>
      </c>
      <c r="B3" s="166"/>
      <c r="C3" s="166"/>
      <c r="D3" s="166"/>
      <c r="E3" s="166"/>
      <c r="F3" s="166"/>
      <c r="G3" s="166"/>
    </row>
    <row r="7" spans="1:15" ht="22.2">
      <c r="A7" s="14" t="s">
        <v>299</v>
      </c>
    </row>
    <row r="9" spans="1:15">
      <c r="A9" s="19" t="s">
        <v>980</v>
      </c>
    </row>
    <row r="11" spans="1:15">
      <c r="A11" s="10" t="s">
        <v>309</v>
      </c>
    </row>
    <row r="12" spans="1:15">
      <c r="A12" s="15"/>
    </row>
    <row r="13" spans="1:15">
      <c r="A13" s="16" t="s">
        <v>981</v>
      </c>
    </row>
    <row r="14" spans="1:15">
      <c r="A14" s="15"/>
    </row>
    <row r="15" spans="1:15">
      <c r="A15" s="16" t="s">
        <v>982</v>
      </c>
    </row>
    <row r="16" spans="1:15">
      <c r="A16" s="15"/>
    </row>
    <row r="17" spans="1:1">
      <c r="A17" s="16" t="s">
        <v>983</v>
      </c>
    </row>
    <row r="18" spans="1:1">
      <c r="A18" s="15"/>
    </row>
    <row r="19" spans="1:1">
      <c r="A19" s="16" t="s">
        <v>984</v>
      </c>
    </row>
    <row r="20" spans="1:1">
      <c r="A20" s="15"/>
    </row>
    <row r="21" spans="1:1">
      <c r="A21" s="16" t="s">
        <v>985</v>
      </c>
    </row>
    <row r="22" spans="1:1">
      <c r="A22" s="15"/>
    </row>
    <row r="23" spans="1:1">
      <c r="A23" s="15"/>
    </row>
    <row r="24" spans="1:1">
      <c r="A24" s="20"/>
    </row>
    <row r="25" spans="1:1">
      <c r="A25" s="33" t="s">
        <v>986</v>
      </c>
    </row>
    <row r="26" spans="1:1">
      <c r="A26" s="20"/>
    </row>
    <row r="27" spans="1:1">
      <c r="A27" s="33" t="s">
        <v>987</v>
      </c>
    </row>
    <row r="31" spans="1:1" ht="22.2">
      <c r="A31" s="14" t="s">
        <v>988</v>
      </c>
    </row>
    <row r="32" spans="1:1">
      <c r="A32" s="15"/>
    </row>
    <row r="33" spans="1:1">
      <c r="A33" s="17" t="s">
        <v>989</v>
      </c>
    </row>
    <row r="34" spans="1:1">
      <c r="A34" s="15"/>
    </row>
    <row r="35" spans="1:1">
      <c r="A35" s="17" t="s">
        <v>990</v>
      </c>
    </row>
    <row r="36" spans="1:1">
      <c r="A36" s="15"/>
    </row>
    <row r="37" spans="1:1">
      <c r="A37" s="17" t="s">
        <v>991</v>
      </c>
    </row>
    <row r="38" spans="1:1">
      <c r="A38" s="15"/>
    </row>
    <row r="39" spans="1:1">
      <c r="A39" s="17" t="s">
        <v>992</v>
      </c>
    </row>
    <row r="40" spans="1:1">
      <c r="A40" s="15"/>
    </row>
    <row r="41" spans="1:1">
      <c r="A41" s="17" t="s">
        <v>993</v>
      </c>
    </row>
    <row r="42" spans="1:1">
      <c r="A42" s="15"/>
    </row>
    <row r="43" spans="1:1">
      <c r="A43" s="17" t="s">
        <v>994</v>
      </c>
    </row>
    <row r="44" spans="1:1">
      <c r="A44" s="15"/>
    </row>
    <row r="45" spans="1:1">
      <c r="A45" s="17" t="s">
        <v>995</v>
      </c>
    </row>
    <row r="49" spans="1:1" ht="22.2">
      <c r="A49" s="14" t="s">
        <v>996</v>
      </c>
    </row>
    <row r="51" spans="1:1">
      <c r="A51" s="6" t="s">
        <v>997</v>
      </c>
    </row>
    <row r="52" spans="1:1">
      <c r="A52" s="6" t="s">
        <v>998</v>
      </c>
    </row>
    <row r="54" spans="1:1">
      <c r="A54" s="34" t="e" cm="1">
        <f t="array" ref="A54">-PMT(_xleta.rate,_xleta.nper,_xleta.pv)</f>
        <v>#NAME?</v>
      </c>
    </row>
    <row r="58" spans="1:1" ht="22.2">
      <c r="A58" s="14" t="s">
        <v>932</v>
      </c>
    </row>
    <row r="60" spans="1:1" ht="17.399999999999999">
      <c r="A60" s="35" t="s">
        <v>999</v>
      </c>
    </row>
    <row r="62" spans="1:1">
      <c r="A62" s="6" t="s">
        <v>1000</v>
      </c>
    </row>
    <row r="63" spans="1:1">
      <c r="A63" s="6" t="s">
        <v>1001</v>
      </c>
    </row>
    <row r="64" spans="1:1">
      <c r="A64" s="6" t="s">
        <v>1002</v>
      </c>
    </row>
    <row r="66" spans="1:1">
      <c r="A66" s="6" t="s">
        <v>668</v>
      </c>
    </row>
    <row r="68" spans="1:1">
      <c r="A68" s="34">
        <f>-PMT(12%/12,60,500000)</f>
        <v>11122.223842450885</v>
      </c>
    </row>
    <row r="70" spans="1:1">
      <c r="A70" s="6" t="s">
        <v>1003</v>
      </c>
    </row>
    <row r="72" spans="1:1">
      <c r="A72" s="19" t="s">
        <v>1004</v>
      </c>
    </row>
    <row r="74" spans="1:1">
      <c r="A74" s="6" t="s">
        <v>1005</v>
      </c>
    </row>
    <row r="75" spans="1:1">
      <c r="A75" s="15"/>
    </row>
    <row r="76" spans="1:1">
      <c r="A76" s="36" t="s">
        <v>1006</v>
      </c>
    </row>
    <row r="77" spans="1:1">
      <c r="A77" s="15"/>
    </row>
    <row r="78" spans="1:1">
      <c r="A78" s="36" t="s">
        <v>1007</v>
      </c>
    </row>
    <row r="79" spans="1:1">
      <c r="A79" s="15"/>
    </row>
    <row r="80" spans="1:1">
      <c r="A80" s="36" t="s">
        <v>1008</v>
      </c>
    </row>
    <row r="84" spans="1:1" ht="17.399999999999999">
      <c r="A84" s="35" t="s">
        <v>1009</v>
      </c>
    </row>
    <row r="86" spans="1:1">
      <c r="A86" s="6" t="s">
        <v>1010</v>
      </c>
    </row>
    <row r="88" spans="1:1">
      <c r="A88" s="34">
        <f>-PMT(8%/12,120,0,1000000)</f>
        <v>5466.0927688690244</v>
      </c>
    </row>
    <row r="90" spans="1:1">
      <c r="A90" s="6" t="s">
        <v>1003</v>
      </c>
    </row>
    <row r="92" spans="1:1">
      <c r="A92" s="19" t="s">
        <v>1011</v>
      </c>
    </row>
    <row r="96" spans="1:1" ht="17.399999999999999">
      <c r="A96" s="35" t="s">
        <v>1012</v>
      </c>
    </row>
    <row r="98" spans="1:1">
      <c r="A98" s="6" t="s">
        <v>1013</v>
      </c>
    </row>
    <row r="100" spans="1:1">
      <c r="A100" s="34">
        <f>-PMT(12%/12,60,500000,0,1)</f>
        <v>11012.102814307807</v>
      </c>
    </row>
    <row r="104" spans="1:1" ht="22.2">
      <c r="A104" s="14" t="s">
        <v>1014</v>
      </c>
    </row>
    <row r="105" spans="1:1">
      <c r="A105" s="15"/>
    </row>
    <row r="106" spans="1:1">
      <c r="A106" s="16" t="s">
        <v>1015</v>
      </c>
    </row>
    <row r="107" spans="1:1">
      <c r="A107" s="15"/>
    </row>
    <row r="108" spans="1:1">
      <c r="A108" s="16" t="s">
        <v>1016</v>
      </c>
    </row>
    <row r="109" spans="1:1">
      <c r="A109" s="15"/>
    </row>
    <row r="110" spans="1:1">
      <c r="A110" s="16" t="s">
        <v>1017</v>
      </c>
    </row>
    <row r="111" spans="1:1">
      <c r="A111" s="15"/>
    </row>
    <row r="112" spans="1:1">
      <c r="A112" s="16" t="s">
        <v>1018</v>
      </c>
    </row>
    <row r="113" spans="1:1">
      <c r="A113" s="15"/>
    </row>
    <row r="114" spans="1:1">
      <c r="A114" s="16" t="s">
        <v>1019</v>
      </c>
    </row>
    <row r="115" spans="1:1">
      <c r="A115" s="15"/>
    </row>
    <row r="116" spans="1:1">
      <c r="A116" s="16" t="s">
        <v>1020</v>
      </c>
    </row>
    <row r="120" spans="1:1">
      <c r="A120" s="6" t="s">
        <v>1021</v>
      </c>
    </row>
    <row r="121" spans="1:1">
      <c r="A121" s="6" t="s">
        <v>950</v>
      </c>
    </row>
  </sheetData>
  <mergeCells count="2">
    <mergeCell ref="A2:O2"/>
    <mergeCell ref="A3: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93"/>
  <sheetViews>
    <sheetView topLeftCell="A24" zoomScale="55" zoomScaleNormal="55" workbookViewId="0">
      <selection activeCell="E98" sqref="E98"/>
    </sheetView>
  </sheetViews>
  <sheetFormatPr defaultColWidth="9" defaultRowHeight="14.4"/>
  <cols>
    <col min="1" max="1" width="17.88671875" customWidth="1"/>
    <col min="2" max="2" width="20.109375" customWidth="1"/>
    <col min="3" max="3" width="41.44140625" customWidth="1"/>
    <col min="4" max="4" width="58" customWidth="1"/>
    <col min="5" max="5" width="27.77734375" customWidth="1"/>
    <col min="6" max="6" width="28.5546875" customWidth="1"/>
    <col min="7" max="7" width="27.21875" customWidth="1"/>
    <col min="8" max="8" width="30.33203125" customWidth="1"/>
    <col min="9" max="9" width="21.21875" customWidth="1"/>
    <col min="10" max="10" width="14.109375" customWidth="1"/>
    <col min="11" max="11" width="18.5546875" customWidth="1"/>
    <col min="12" max="12" width="13.88671875" customWidth="1"/>
    <col min="13" max="13" width="44" customWidth="1"/>
  </cols>
  <sheetData>
    <row r="1" spans="1:26" ht="36.6">
      <c r="A1" s="1" t="s">
        <v>1022</v>
      </c>
      <c r="B1" s="2">
        <v>100000</v>
      </c>
      <c r="D1" s="3" t="s">
        <v>1023</v>
      </c>
      <c r="E1" s="4" t="s">
        <v>1024</v>
      </c>
      <c r="F1" s="4" t="s">
        <v>1025</v>
      </c>
      <c r="G1" s="4" t="s">
        <v>977</v>
      </c>
      <c r="H1" s="4" t="s">
        <v>1026</v>
      </c>
      <c r="M1" s="13" t="s">
        <v>977</v>
      </c>
    </row>
    <row r="2" spans="1:26">
      <c r="A2" s="1" t="s">
        <v>1027</v>
      </c>
      <c r="B2" s="5">
        <v>0.12</v>
      </c>
      <c r="C2" s="6" t="s">
        <v>1028</v>
      </c>
      <c r="D2" s="7">
        <v>1</v>
      </c>
      <c r="E2" s="8">
        <f>PPMT(B$2/12,D2,$B$3*12,-$B$1)</f>
        <v>3707.3472223264703</v>
      </c>
      <c r="F2" s="8">
        <f>IPMT(B2/12,D2,B3*12,-B1)</f>
        <v>1000</v>
      </c>
      <c r="G2" s="8">
        <f>PMT(B2/12,B3*12,-B1)</f>
        <v>4707.3472223264698</v>
      </c>
      <c r="H2" s="8">
        <f>B1-E2</f>
        <v>96292.652777673531</v>
      </c>
    </row>
    <row r="3" spans="1:26">
      <c r="A3" s="1" t="s">
        <v>1029</v>
      </c>
      <c r="B3" s="9">
        <v>2</v>
      </c>
      <c r="D3" s="7">
        <v>2</v>
      </c>
      <c r="E3" s="8">
        <f t="shared" ref="E3:E4" si="0">PPMT(B$2/12,D3,$B$3*12,-$B$1)</f>
        <v>3744.4206945497344</v>
      </c>
      <c r="F3" s="9"/>
      <c r="G3" s="9"/>
      <c r="H3" s="9"/>
      <c r="M3" s="185" t="s">
        <v>1030</v>
      </c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spans="1:26">
      <c r="A4" s="6" t="s">
        <v>1031</v>
      </c>
      <c r="B4">
        <v>24</v>
      </c>
      <c r="C4" s="6" t="s">
        <v>1032</v>
      </c>
      <c r="D4" s="7">
        <v>3</v>
      </c>
      <c r="E4" s="8">
        <f t="shared" si="0"/>
        <v>3781.8649014952321</v>
      </c>
      <c r="F4" s="9"/>
      <c r="G4" s="9"/>
      <c r="H4" s="9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spans="1:26">
      <c r="D5" s="7">
        <v>4</v>
      </c>
      <c r="E5" s="9"/>
      <c r="F5" s="9"/>
      <c r="G5" s="9"/>
      <c r="H5" s="9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spans="1:26">
      <c r="D6" s="7">
        <v>5</v>
      </c>
      <c r="E6" s="9"/>
      <c r="F6" s="9"/>
      <c r="G6" s="9"/>
      <c r="H6" s="9"/>
    </row>
    <row r="7" spans="1:26" ht="22.2">
      <c r="A7" s="1" t="s">
        <v>1033</v>
      </c>
      <c r="B7" s="8">
        <f>PMT(B2/52,B3*52,B1,,0)</f>
        <v>-1082.6377760622793</v>
      </c>
      <c r="C7" s="8">
        <f>PMT(B2/52,B3*52,B1,,1)</f>
        <v>-1080.1451334466333</v>
      </c>
      <c r="D7" s="7">
        <v>6</v>
      </c>
      <c r="E7" s="9"/>
      <c r="F7" s="9"/>
      <c r="G7" s="9"/>
      <c r="H7" s="9"/>
      <c r="M7" s="14" t="s">
        <v>1034</v>
      </c>
    </row>
    <row r="8" spans="1:26">
      <c r="A8" s="1" t="s">
        <v>1035</v>
      </c>
      <c r="B8" s="8">
        <f>PMT(B2/12,B3*12,-B1)</f>
        <v>4707.3472223264698</v>
      </c>
      <c r="C8" s="8">
        <f>-PMT(B2/52,B3*52,B1,,1)</f>
        <v>1080.1451334466333</v>
      </c>
      <c r="D8" s="7">
        <v>7</v>
      </c>
      <c r="E8" s="9"/>
      <c r="F8" s="9"/>
      <c r="G8" s="9"/>
      <c r="H8" s="9"/>
    </row>
    <row r="9" spans="1:26">
      <c r="A9" s="1" t="s">
        <v>1036</v>
      </c>
      <c r="B9" s="8">
        <f>PMT(B2/4,B3*4,-B1)</f>
        <v>14245.638882723917</v>
      </c>
      <c r="D9" s="7">
        <v>8</v>
      </c>
      <c r="E9" s="9"/>
      <c r="F9" s="9"/>
      <c r="G9" s="9"/>
      <c r="H9" s="9"/>
      <c r="M9" s="6" t="s">
        <v>1037</v>
      </c>
    </row>
    <row r="10" spans="1:26">
      <c r="A10" s="1" t="s">
        <v>1038</v>
      </c>
      <c r="B10" s="8">
        <f>PMT(B2/2,B3*2,-B1)</f>
        <v>28859.149237327347</v>
      </c>
      <c r="D10" s="7">
        <v>9</v>
      </c>
      <c r="E10" s="9"/>
      <c r="F10" s="9"/>
      <c r="G10" s="9"/>
      <c r="H10" s="9"/>
      <c r="M10" s="15"/>
    </row>
    <row r="11" spans="1:26">
      <c r="A11" s="1" t="s">
        <v>1039</v>
      </c>
      <c r="B11" s="8">
        <f>PMT(B2,B3,-B1)</f>
        <v>59169.811320754729</v>
      </c>
      <c r="D11" s="7">
        <v>10</v>
      </c>
      <c r="E11" s="9"/>
      <c r="F11" s="9"/>
      <c r="G11" s="9"/>
      <c r="H11" s="9"/>
      <c r="M11" s="16" t="s">
        <v>1040</v>
      </c>
    </row>
    <row r="12" spans="1:26">
      <c r="D12" s="7">
        <v>11</v>
      </c>
      <c r="E12" s="9"/>
      <c r="F12" s="9"/>
      <c r="G12" s="9"/>
      <c r="H12" s="9"/>
      <c r="M12" s="15"/>
    </row>
    <row r="13" spans="1:26">
      <c r="A13" s="10" t="s">
        <v>1041</v>
      </c>
      <c r="D13" s="7">
        <v>12</v>
      </c>
      <c r="E13" s="9"/>
      <c r="F13" s="9"/>
      <c r="G13" s="9"/>
      <c r="H13" s="9"/>
      <c r="M13" s="16" t="s">
        <v>1042</v>
      </c>
    </row>
    <row r="14" spans="1:26">
      <c r="A14" s="10" t="s">
        <v>1035</v>
      </c>
      <c r="B14" s="8">
        <f>PMT(B2/12,B4,-B1)</f>
        <v>4707.3472223264698</v>
      </c>
      <c r="D14" s="7">
        <v>13</v>
      </c>
      <c r="E14" s="9"/>
      <c r="F14" s="9"/>
      <c r="G14" s="9"/>
      <c r="H14" s="9"/>
      <c r="M14" s="15"/>
    </row>
    <row r="15" spans="1:26">
      <c r="A15" s="10"/>
      <c r="D15" s="7">
        <v>14</v>
      </c>
      <c r="E15" s="9"/>
      <c r="F15" s="9"/>
      <c r="G15" s="9"/>
      <c r="H15" s="9"/>
      <c r="M15" s="16" t="s">
        <v>1043</v>
      </c>
    </row>
    <row r="16" spans="1:26">
      <c r="A16" s="10"/>
      <c r="D16" s="7">
        <v>15</v>
      </c>
      <c r="E16" s="9"/>
      <c r="F16" s="9"/>
      <c r="G16" s="9"/>
      <c r="H16" s="9"/>
      <c r="M16" s="15"/>
    </row>
    <row r="17" spans="1:13">
      <c r="D17" s="7">
        <v>16</v>
      </c>
      <c r="E17" s="9"/>
      <c r="F17" s="9"/>
      <c r="G17" s="9"/>
      <c r="H17" s="9"/>
      <c r="M17" s="16" t="s">
        <v>1044</v>
      </c>
    </row>
    <row r="18" spans="1:13">
      <c r="D18" s="7">
        <v>17</v>
      </c>
      <c r="E18" s="9"/>
      <c r="F18" s="9"/>
      <c r="G18" s="9"/>
      <c r="H18" s="9"/>
      <c r="M18" s="15"/>
    </row>
    <row r="19" spans="1:13">
      <c r="A19" s="11" t="s">
        <v>977</v>
      </c>
      <c r="B19" s="9" t="s">
        <v>1045</v>
      </c>
      <c r="D19" s="7">
        <v>18</v>
      </c>
      <c r="E19" s="9"/>
      <c r="F19" s="9"/>
      <c r="G19" s="9"/>
      <c r="H19" s="9"/>
      <c r="M19" s="16" t="s">
        <v>1046</v>
      </c>
    </row>
    <row r="20" spans="1:13">
      <c r="A20" s="11" t="s">
        <v>1025</v>
      </c>
      <c r="B20" s="9" t="s">
        <v>1047</v>
      </c>
      <c r="D20" s="7">
        <v>19</v>
      </c>
      <c r="E20" s="9"/>
      <c r="F20" s="9"/>
      <c r="G20" s="9"/>
      <c r="H20" s="9"/>
    </row>
    <row r="21" spans="1:13">
      <c r="A21" s="11" t="s">
        <v>1024</v>
      </c>
      <c r="B21" s="9" t="s">
        <v>1048</v>
      </c>
      <c r="D21" s="7">
        <v>20</v>
      </c>
      <c r="E21" s="9"/>
      <c r="F21" s="9"/>
      <c r="G21" s="9"/>
      <c r="H21" s="9"/>
    </row>
    <row r="22" spans="1:13">
      <c r="A22" s="11" t="s">
        <v>1049</v>
      </c>
      <c r="B22" s="9" t="s">
        <v>1050</v>
      </c>
      <c r="D22" s="7">
        <v>21</v>
      </c>
      <c r="E22" s="9"/>
      <c r="F22" s="9"/>
      <c r="G22" s="9"/>
      <c r="H22" s="9"/>
    </row>
    <row r="23" spans="1:13" ht="16.8" customHeight="1">
      <c r="A23" s="11" t="s">
        <v>1051</v>
      </c>
      <c r="B23" s="9" t="s">
        <v>1052</v>
      </c>
      <c r="D23" s="7">
        <v>22</v>
      </c>
      <c r="E23" s="9"/>
      <c r="F23" s="9"/>
      <c r="G23" s="9"/>
      <c r="H23" s="9"/>
      <c r="M23" s="14" t="s">
        <v>1053</v>
      </c>
    </row>
    <row r="24" spans="1:13">
      <c r="A24" s="11" t="s">
        <v>1054</v>
      </c>
      <c r="B24" s="12" t="s">
        <v>1055</v>
      </c>
      <c r="D24" s="7">
        <v>23</v>
      </c>
      <c r="E24" s="9"/>
      <c r="F24" s="9"/>
      <c r="G24" s="9"/>
      <c r="H24" s="9"/>
    </row>
    <row r="25" spans="1:13">
      <c r="D25" s="7">
        <v>24</v>
      </c>
      <c r="E25" s="9"/>
      <c r="F25" s="9"/>
      <c r="G25" s="9"/>
      <c r="H25" s="9"/>
      <c r="M25" s="6" t="s">
        <v>1056</v>
      </c>
    </row>
    <row r="26" spans="1:13">
      <c r="D26" s="7">
        <v>25</v>
      </c>
      <c r="E26" s="9"/>
      <c r="F26" s="9"/>
      <c r="G26" s="9"/>
      <c r="H26" s="9"/>
      <c r="M26" s="15"/>
    </row>
    <row r="27" spans="1:13">
      <c r="A27" s="6" t="s">
        <v>1057</v>
      </c>
      <c r="B27" s="6" t="s">
        <v>1058</v>
      </c>
      <c r="D27" s="7">
        <v>26</v>
      </c>
      <c r="E27" s="9"/>
      <c r="F27" s="9"/>
      <c r="G27" s="9"/>
      <c r="H27" s="9"/>
      <c r="M27" s="17" t="s">
        <v>1059</v>
      </c>
    </row>
    <row r="28" spans="1:13">
      <c r="A28" s="6" t="s">
        <v>1060</v>
      </c>
      <c r="B28" s="6" t="s">
        <v>1061</v>
      </c>
      <c r="D28" s="7">
        <v>27</v>
      </c>
      <c r="E28" s="9"/>
      <c r="F28" s="9"/>
      <c r="G28" s="9"/>
      <c r="H28" s="9"/>
      <c r="M28" s="15"/>
    </row>
    <row r="29" spans="1:13">
      <c r="A29" s="6" t="s">
        <v>1062</v>
      </c>
      <c r="B29" s="6" t="s">
        <v>1063</v>
      </c>
      <c r="D29" s="7">
        <v>28</v>
      </c>
      <c r="E29" s="9"/>
      <c r="F29" s="9"/>
      <c r="G29" s="9"/>
      <c r="H29" s="9"/>
      <c r="M29" s="17" t="s">
        <v>1064</v>
      </c>
    </row>
    <row r="30" spans="1:13">
      <c r="D30" s="7">
        <v>29</v>
      </c>
      <c r="E30" s="9"/>
      <c r="F30" s="9"/>
      <c r="G30" s="9"/>
      <c r="H30" s="9"/>
      <c r="M30" s="15"/>
    </row>
    <row r="31" spans="1:13">
      <c r="D31" s="7">
        <v>30</v>
      </c>
      <c r="E31" s="9"/>
      <c r="F31" s="9"/>
      <c r="G31" s="9"/>
      <c r="H31" s="9"/>
      <c r="M31" s="17" t="s">
        <v>1065</v>
      </c>
    </row>
    <row r="32" spans="1:13">
      <c r="D32" s="7">
        <v>31</v>
      </c>
      <c r="E32" s="9"/>
      <c r="F32" s="9"/>
      <c r="G32" s="9"/>
      <c r="H32" s="9"/>
      <c r="M32" s="15"/>
    </row>
    <row r="33" spans="1:13">
      <c r="D33" s="7">
        <v>32</v>
      </c>
      <c r="E33" s="9"/>
      <c r="F33" s="9"/>
      <c r="G33" s="9"/>
      <c r="H33" s="9"/>
      <c r="M33" s="17" t="s">
        <v>1066</v>
      </c>
    </row>
    <row r="34" spans="1:13">
      <c r="D34" s="7">
        <v>33</v>
      </c>
      <c r="E34" s="9"/>
      <c r="F34" s="9"/>
      <c r="G34" s="9"/>
      <c r="H34" s="9"/>
    </row>
    <row r="35" spans="1:13">
      <c r="D35" s="7">
        <v>34</v>
      </c>
      <c r="E35" s="9"/>
      <c r="F35" s="9"/>
      <c r="G35" s="9"/>
      <c r="H35" s="9"/>
    </row>
    <row r="36" spans="1:13">
      <c r="D36" s="7">
        <v>35</v>
      </c>
      <c r="E36" s="9"/>
      <c r="F36" s="9"/>
      <c r="G36" s="9"/>
      <c r="H36" s="9"/>
    </row>
    <row r="37" spans="1:13" ht="22.2">
      <c r="A37" s="6" t="s">
        <v>1067</v>
      </c>
      <c r="D37" s="7">
        <v>36</v>
      </c>
      <c r="E37" s="9"/>
      <c r="F37" s="9"/>
      <c r="G37" s="9"/>
      <c r="H37" s="9"/>
      <c r="M37" s="14" t="s">
        <v>1068</v>
      </c>
    </row>
    <row r="38" spans="1:13">
      <c r="A38" s="6" t="s">
        <v>1069</v>
      </c>
      <c r="D38" s="7">
        <v>37</v>
      </c>
      <c r="E38" s="9"/>
      <c r="F38" s="9"/>
      <c r="G38" s="9"/>
      <c r="H38" s="9"/>
      <c r="M38" s="18"/>
    </row>
    <row r="39" spans="1:13">
      <c r="A39" s="6" t="s">
        <v>1070</v>
      </c>
      <c r="D39" s="7">
        <v>38</v>
      </c>
      <c r="E39" s="9"/>
      <c r="F39" s="9"/>
      <c r="G39" s="9"/>
      <c r="H39" s="9"/>
      <c r="M39" s="19" t="s">
        <v>1071</v>
      </c>
    </row>
    <row r="40" spans="1:13">
      <c r="D40" s="7">
        <v>39</v>
      </c>
      <c r="E40" s="9"/>
      <c r="F40" s="9"/>
      <c r="G40" s="9"/>
      <c r="H40" s="9"/>
      <c r="M40" s="19" t="s">
        <v>1072</v>
      </c>
    </row>
    <row r="41" spans="1:13">
      <c r="A41" s="6" t="s">
        <v>1073</v>
      </c>
      <c r="B41" t="s">
        <v>1024</v>
      </c>
      <c r="D41" s="7">
        <v>40</v>
      </c>
      <c r="E41" s="9"/>
      <c r="F41" s="9"/>
      <c r="G41" s="9"/>
      <c r="H41" s="9"/>
      <c r="M41" s="19" t="s">
        <v>1074</v>
      </c>
    </row>
    <row r="42" spans="1:13">
      <c r="A42" s="6" t="s">
        <v>1075</v>
      </c>
      <c r="B42" t="s">
        <v>1025</v>
      </c>
      <c r="M42" s="15"/>
    </row>
    <row r="43" spans="1:13">
      <c r="D43" t="s">
        <v>1076</v>
      </c>
      <c r="E43" t="s">
        <v>1077</v>
      </c>
      <c r="F43" t="s">
        <v>1078</v>
      </c>
      <c r="H43" s="6" t="s">
        <v>1079</v>
      </c>
      <c r="M43" s="16" t="s">
        <v>1080</v>
      </c>
    </row>
    <row r="44" spans="1:13">
      <c r="M44" s="15"/>
    </row>
    <row r="45" spans="1:13">
      <c r="D45" s="6" t="s">
        <v>1081</v>
      </c>
      <c r="M45" s="16" t="s">
        <v>982</v>
      </c>
    </row>
    <row r="46" spans="1:13">
      <c r="M46" s="15"/>
    </row>
    <row r="47" spans="1:13">
      <c r="M47" s="16" t="s">
        <v>1082</v>
      </c>
    </row>
    <row r="48" spans="1:13">
      <c r="M48" s="15"/>
    </row>
    <row r="49" spans="13:13">
      <c r="M49" s="16" t="s">
        <v>1083</v>
      </c>
    </row>
    <row r="50" spans="13:13">
      <c r="M50" s="15"/>
    </row>
    <row r="51" spans="13:13">
      <c r="M51" s="16" t="s">
        <v>985</v>
      </c>
    </row>
    <row r="52" spans="13:13">
      <c r="M52" s="15"/>
    </row>
    <row r="53" spans="13:13">
      <c r="M53" s="15"/>
    </row>
    <row r="54" spans="13:13">
      <c r="M54" s="20"/>
    </row>
    <row r="55" spans="13:13">
      <c r="M55" s="21" t="s">
        <v>1084</v>
      </c>
    </row>
    <row r="56" spans="13:13">
      <c r="M56" s="20"/>
    </row>
    <row r="57" spans="13:13">
      <c r="M57" s="21" t="s">
        <v>1085</v>
      </c>
    </row>
    <row r="61" spans="13:13" ht="22.2">
      <c r="M61" s="14" t="s">
        <v>1086</v>
      </c>
    </row>
    <row r="62" spans="13:13">
      <c r="M62" s="15"/>
    </row>
    <row r="63" spans="13:13">
      <c r="M63" s="17" t="s">
        <v>1087</v>
      </c>
    </row>
    <row r="64" spans="13:13">
      <c r="M64" s="15"/>
    </row>
    <row r="65" spans="2:13">
      <c r="M65" s="17" t="s">
        <v>1088</v>
      </c>
    </row>
    <row r="66" spans="2:13">
      <c r="M66" s="15"/>
    </row>
    <row r="67" spans="2:13">
      <c r="M67" s="17" t="s">
        <v>1089</v>
      </c>
    </row>
    <row r="68" spans="2:13">
      <c r="M68" s="15"/>
    </row>
    <row r="69" spans="2:13">
      <c r="M69" s="17" t="s">
        <v>1090</v>
      </c>
    </row>
    <row r="70" spans="2:13">
      <c r="M70" s="15"/>
    </row>
    <row r="71" spans="2:13">
      <c r="M71" s="17" t="s">
        <v>1091</v>
      </c>
    </row>
    <row r="72" spans="2:13">
      <c r="M72" s="15"/>
    </row>
    <row r="73" spans="2:13">
      <c r="M73" s="17" t="s">
        <v>1092</v>
      </c>
    </row>
    <row r="77" spans="2:13" ht="36.6">
      <c r="M77" s="13" t="s">
        <v>1024</v>
      </c>
    </row>
    <row r="78" spans="2:13">
      <c r="B78" s="186" t="s">
        <v>1093</v>
      </c>
      <c r="C78" s="186"/>
      <c r="E78" s="187" t="s">
        <v>1094</v>
      </c>
      <c r="F78" s="187"/>
      <c r="H78" s="187" t="s">
        <v>1095</v>
      </c>
      <c r="I78" s="187"/>
    </row>
    <row r="79" spans="2:13">
      <c r="B79" s="186"/>
      <c r="C79" s="186"/>
      <c r="E79" s="187"/>
      <c r="F79" s="187"/>
      <c r="H79" s="187"/>
      <c r="I79" s="187"/>
    </row>
    <row r="80" spans="2:13" ht="22.2">
      <c r="B80" s="22" t="s">
        <v>1096</v>
      </c>
      <c r="C80" s="23">
        <v>300000</v>
      </c>
      <c r="E80" s="24" t="s">
        <v>1096</v>
      </c>
      <c r="F80" s="25">
        <v>300000</v>
      </c>
      <c r="H80" s="22" t="s">
        <v>1096</v>
      </c>
      <c r="I80" s="23">
        <v>300000</v>
      </c>
    </row>
    <row r="81" spans="2:9" ht="22.2">
      <c r="B81" s="22" t="s">
        <v>1097</v>
      </c>
      <c r="C81" s="26">
        <v>0.2</v>
      </c>
      <c r="E81" s="24" t="s">
        <v>1098</v>
      </c>
      <c r="F81" s="1">
        <v>50</v>
      </c>
      <c r="H81" s="22" t="s">
        <v>1097</v>
      </c>
      <c r="I81" s="26">
        <v>2.5000000000000001E-2</v>
      </c>
    </row>
    <row r="82" spans="2:9" ht="22.2">
      <c r="B82" s="22" t="s">
        <v>1099</v>
      </c>
      <c r="C82" s="1">
        <v>50</v>
      </c>
      <c r="E82" s="24" t="s">
        <v>1100</v>
      </c>
      <c r="F82" s="1"/>
      <c r="H82" s="22" t="s">
        <v>1100</v>
      </c>
      <c r="I82" s="9"/>
    </row>
    <row r="85" spans="2:9" ht="24.6" customHeight="1">
      <c r="B85" s="27" t="s">
        <v>1100</v>
      </c>
      <c r="C85" s="28">
        <f>PMT(C81,C82,C80)</f>
        <v>-60006.593813707063</v>
      </c>
      <c r="D85" s="29"/>
      <c r="E85" s="27" t="s">
        <v>1101</v>
      </c>
      <c r="F85" s="29"/>
      <c r="G85" s="29"/>
      <c r="H85" s="27" t="s">
        <v>1054</v>
      </c>
    </row>
    <row r="86" spans="2:9" ht="24.6" customHeight="1"/>
    <row r="89" spans="2:9">
      <c r="B89" s="188" t="s">
        <v>1049</v>
      </c>
      <c r="C89" s="188"/>
      <c r="E89" s="189" t="s">
        <v>1051</v>
      </c>
      <c r="F89" s="189"/>
    </row>
    <row r="90" spans="2:9">
      <c r="B90" s="188"/>
      <c r="C90" s="188"/>
      <c r="E90" s="189"/>
      <c r="F90" s="189"/>
    </row>
    <row r="91" spans="2:9" ht="17.399999999999999">
      <c r="B91" s="30" t="s">
        <v>1100</v>
      </c>
      <c r="C91" s="30"/>
    </row>
    <row r="92" spans="2:9" ht="17.399999999999999">
      <c r="B92" s="30" t="s">
        <v>1097</v>
      </c>
      <c r="C92" s="31">
        <v>2.5000000000000001E-2</v>
      </c>
    </row>
    <row r="93" spans="2:9" ht="17.399999999999999">
      <c r="B93" s="30" t="s">
        <v>1098</v>
      </c>
      <c r="C93" s="30">
        <v>50</v>
      </c>
    </row>
  </sheetData>
  <mergeCells count="6">
    <mergeCell ref="M3:Z5"/>
    <mergeCell ref="B78:C79"/>
    <mergeCell ref="H78:I79"/>
    <mergeCell ref="E78:F79"/>
    <mergeCell ref="B89:C90"/>
    <mergeCell ref="E89:F90"/>
  </mergeCells>
  <pageMargins left="0.7" right="0.7" top="0.75" bottom="0.75" header="0.3" footer="0.3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topLeftCell="A4" workbookViewId="0"/>
  </sheetViews>
  <sheetFormatPr defaultColWidth="9" defaultRowHeight="14.4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>
      <selection activeCell="M24" sqref="M24"/>
    </sheetView>
  </sheetViews>
  <sheetFormatPr defaultColWidth="9" defaultRowHeight="14.4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topLeftCell="A7" workbookViewId="0"/>
  </sheetViews>
  <sheetFormatPr defaultColWidth="9" defaultRowHeight="14.4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4"/>
  <sheetViews>
    <sheetView workbookViewId="0">
      <selection activeCell="A3" sqref="A3:E12"/>
    </sheetView>
  </sheetViews>
  <sheetFormatPr defaultColWidth="9" defaultRowHeight="14.4"/>
  <sheetData>
    <row r="1" spans="1:5">
      <c r="A1" s="190" t="s">
        <v>1268</v>
      </c>
      <c r="B1" s="190"/>
      <c r="C1" s="190"/>
      <c r="D1" s="190"/>
      <c r="E1" s="190"/>
    </row>
    <row r="2" spans="1:5">
      <c r="A2" s="190"/>
      <c r="B2" s="190"/>
      <c r="C2" s="190"/>
      <c r="D2" s="190"/>
      <c r="E2" s="190"/>
    </row>
    <row r="3" spans="1:5" ht="15">
      <c r="A3" s="108" t="s">
        <v>1269</v>
      </c>
      <c r="B3" s="108" t="s">
        <v>1023</v>
      </c>
      <c r="C3" s="108" t="s">
        <v>169</v>
      </c>
      <c r="D3" s="108" t="s">
        <v>1270</v>
      </c>
      <c r="E3" s="108" t="s">
        <v>1271</v>
      </c>
    </row>
    <row r="4" spans="1:5" ht="15">
      <c r="A4" s="106" t="s">
        <v>381</v>
      </c>
      <c r="B4" s="106" t="s">
        <v>1276</v>
      </c>
      <c r="C4" s="106" t="s">
        <v>1278</v>
      </c>
      <c r="D4" s="9">
        <v>45</v>
      </c>
      <c r="E4" s="9">
        <v>450</v>
      </c>
    </row>
    <row r="5" spans="1:5" ht="15">
      <c r="A5" s="106" t="s">
        <v>695</v>
      </c>
      <c r="B5" s="106" t="s">
        <v>1276</v>
      </c>
      <c r="C5" s="106" t="s">
        <v>1278</v>
      </c>
      <c r="D5" s="9">
        <v>20</v>
      </c>
      <c r="E5" s="9">
        <v>200</v>
      </c>
    </row>
    <row r="6" spans="1:5" ht="15">
      <c r="A6" s="106" t="s">
        <v>719</v>
      </c>
      <c r="B6" s="106" t="s">
        <v>1276</v>
      </c>
      <c r="C6" s="106" t="s">
        <v>1278</v>
      </c>
      <c r="D6" s="9">
        <v>14</v>
      </c>
      <c r="E6" s="9">
        <v>140</v>
      </c>
    </row>
    <row r="7" spans="1:5" ht="15">
      <c r="A7" s="106" t="s">
        <v>934</v>
      </c>
      <c r="B7" s="106" t="s">
        <v>1276</v>
      </c>
      <c r="C7" s="106" t="s">
        <v>1278</v>
      </c>
      <c r="D7" s="9">
        <v>32</v>
      </c>
      <c r="E7" s="9">
        <v>320</v>
      </c>
    </row>
    <row r="8" spans="1:5" ht="15">
      <c r="A8" s="106" t="s">
        <v>1272</v>
      </c>
      <c r="B8" s="106" t="s">
        <v>1277</v>
      </c>
      <c r="C8" s="106" t="s">
        <v>1278</v>
      </c>
      <c r="D8" s="9">
        <v>14</v>
      </c>
      <c r="E8" s="9">
        <v>140</v>
      </c>
    </row>
    <row r="9" spans="1:5" ht="15">
      <c r="A9" s="106" t="s">
        <v>1273</v>
      </c>
      <c r="B9" s="106" t="s">
        <v>1277</v>
      </c>
      <c r="C9" s="106" t="s">
        <v>1278</v>
      </c>
      <c r="D9" s="9">
        <v>32</v>
      </c>
      <c r="E9" s="9">
        <v>320</v>
      </c>
    </row>
    <row r="10" spans="1:5" ht="15">
      <c r="A10" s="106" t="s">
        <v>1274</v>
      </c>
      <c r="B10" s="106" t="s">
        <v>1277</v>
      </c>
      <c r="C10" s="106" t="s">
        <v>1278</v>
      </c>
      <c r="D10" s="9">
        <v>60</v>
      </c>
      <c r="E10" s="9">
        <v>600</v>
      </c>
    </row>
    <row r="11" spans="1:5" ht="15">
      <c r="A11" s="106" t="s">
        <v>1275</v>
      </c>
      <c r="B11" s="106" t="s">
        <v>1277</v>
      </c>
      <c r="C11" s="106" t="s">
        <v>1278</v>
      </c>
      <c r="D11" s="9">
        <v>15</v>
      </c>
      <c r="E11" s="9">
        <v>250</v>
      </c>
    </row>
    <row r="12" spans="1:5" ht="15">
      <c r="A12" s="106" t="s">
        <v>792</v>
      </c>
      <c r="B12" s="106" t="s">
        <v>1277</v>
      </c>
      <c r="C12" s="106" t="s">
        <v>1278</v>
      </c>
      <c r="D12" s="9">
        <v>25</v>
      </c>
      <c r="E12" s="9">
        <v>300</v>
      </c>
    </row>
    <row r="15" spans="1:5" ht="15">
      <c r="A15" s="108" t="s">
        <v>1269</v>
      </c>
      <c r="B15" s="108" t="s">
        <v>169</v>
      </c>
      <c r="C15" s="108" t="s">
        <v>1271</v>
      </c>
    </row>
    <row r="16" spans="1:5">
      <c r="A16" t="str" cm="1">
        <f t="array" ref="A16:C24">_xlfn.CHOOSECOLS(A4:E12,1,3,5)</f>
        <v>A</v>
      </c>
      <c r="B16" t="str">
        <v>MOBILE</v>
      </c>
      <c r="C16">
        <v>450</v>
      </c>
    </row>
    <row r="17" spans="1:3">
      <c r="A17" t="str">
        <v>B</v>
      </c>
      <c r="B17" t="str">
        <v>MOBILE</v>
      </c>
      <c r="C17">
        <v>200</v>
      </c>
    </row>
    <row r="18" spans="1:3">
      <c r="A18" t="str">
        <v>D</v>
      </c>
      <c r="B18" t="str">
        <v>MOBILE</v>
      </c>
      <c r="C18">
        <v>140</v>
      </c>
    </row>
    <row r="19" spans="1:3">
      <c r="A19" t="str">
        <v>E</v>
      </c>
      <c r="B19" t="str">
        <v>MOBILE</v>
      </c>
      <c r="C19">
        <v>320</v>
      </c>
    </row>
    <row r="20" spans="1:3">
      <c r="A20" t="str">
        <v>F</v>
      </c>
      <c r="B20" t="str">
        <v>MOBILE</v>
      </c>
      <c r="C20">
        <v>140</v>
      </c>
    </row>
    <row r="21" spans="1:3">
      <c r="A21" t="str">
        <v>G</v>
      </c>
      <c r="B21" t="str">
        <v>MOBILE</v>
      </c>
      <c r="C21">
        <v>320</v>
      </c>
    </row>
    <row r="22" spans="1:3">
      <c r="A22" t="str">
        <v>H</v>
      </c>
      <c r="B22" t="str">
        <v>MOBILE</v>
      </c>
      <c r="C22">
        <v>600</v>
      </c>
    </row>
    <row r="23" spans="1:3">
      <c r="A23" t="str">
        <v>I</v>
      </c>
      <c r="B23" t="str">
        <v>MOBILE</v>
      </c>
      <c r="C23">
        <v>250</v>
      </c>
    </row>
    <row r="24" spans="1:3">
      <c r="A24" t="str">
        <v>J</v>
      </c>
      <c r="B24" t="str">
        <v>MOBILE</v>
      </c>
      <c r="C24">
        <v>300</v>
      </c>
    </row>
  </sheetData>
  <mergeCells count="1">
    <mergeCell ref="A1:E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11"/>
  <sheetViews>
    <sheetView workbookViewId="0">
      <selection activeCell="G12" sqref="G12"/>
    </sheetView>
  </sheetViews>
  <sheetFormatPr defaultColWidth="9" defaultRowHeight="14.4"/>
  <cols>
    <col min="1" max="1" width="15.33203125" customWidth="1"/>
    <col min="7" max="7" width="13.77734375" customWidth="1"/>
  </cols>
  <sheetData>
    <row r="1" spans="1:11" ht="18">
      <c r="A1" s="109" t="s">
        <v>1279</v>
      </c>
      <c r="B1" s="109" t="s">
        <v>1280</v>
      </c>
      <c r="C1" s="109" t="s">
        <v>898</v>
      </c>
      <c r="D1" s="109" t="s">
        <v>1281</v>
      </c>
      <c r="E1" s="109" t="s">
        <v>320</v>
      </c>
      <c r="G1" s="108" t="s">
        <v>1282</v>
      </c>
      <c r="H1" s="108" t="s">
        <v>1280</v>
      </c>
      <c r="I1" s="105" t="s">
        <v>898</v>
      </c>
      <c r="J1" s="105" t="s">
        <v>1281</v>
      </c>
      <c r="K1" s="105" t="s">
        <v>320</v>
      </c>
    </row>
    <row r="2" spans="1:11" ht="15">
      <c r="A2" s="106" t="s">
        <v>14</v>
      </c>
      <c r="B2" s="9">
        <v>76</v>
      </c>
      <c r="C2" s="9">
        <v>78</v>
      </c>
      <c r="D2" s="9">
        <v>76</v>
      </c>
      <c r="E2" s="9">
        <f>SUM(B2:D2)</f>
        <v>230</v>
      </c>
      <c r="G2" s="9" t="str" cm="1">
        <f t="array" ref="G2:K4">_xlfn.CHOOSEROWS(A2:E11,1,4,7)</f>
        <v>Amit</v>
      </c>
      <c r="H2" s="9">
        <v>76</v>
      </c>
      <c r="I2">
        <v>78</v>
      </c>
      <c r="J2">
        <v>76</v>
      </c>
      <c r="K2">
        <v>230</v>
      </c>
    </row>
    <row r="3" spans="1:11" ht="15">
      <c r="A3" s="106" t="s">
        <v>279</v>
      </c>
      <c r="B3" s="9">
        <v>45</v>
      </c>
      <c r="C3" s="9">
        <v>56</v>
      </c>
      <c r="D3" s="9">
        <v>54</v>
      </c>
      <c r="E3" s="9">
        <f t="shared" ref="E3:E11" si="0">SUM(B3:D3)</f>
        <v>155</v>
      </c>
      <c r="G3" s="9" t="str">
        <v>Sneha</v>
      </c>
      <c r="H3" s="9">
        <v>77</v>
      </c>
      <c r="I3">
        <v>45</v>
      </c>
      <c r="J3">
        <v>89</v>
      </c>
      <c r="K3">
        <v>211</v>
      </c>
    </row>
    <row r="4" spans="1:11" ht="15">
      <c r="A4" s="106" t="s">
        <v>1119</v>
      </c>
      <c r="B4" s="9">
        <v>66</v>
      </c>
      <c r="C4" s="9">
        <v>87</v>
      </c>
      <c r="D4" s="9">
        <v>67</v>
      </c>
      <c r="E4" s="9">
        <f t="shared" si="0"/>
        <v>220</v>
      </c>
      <c r="G4" s="9" t="str">
        <v>Rahul</v>
      </c>
      <c r="H4" s="9">
        <v>88</v>
      </c>
      <c r="I4">
        <v>90</v>
      </c>
      <c r="J4">
        <v>61</v>
      </c>
      <c r="K4">
        <v>239</v>
      </c>
    </row>
    <row r="5" spans="1:11" ht="15">
      <c r="A5" s="106" t="s">
        <v>708</v>
      </c>
      <c r="B5" s="9">
        <v>77</v>
      </c>
      <c r="C5" s="9">
        <v>45</v>
      </c>
      <c r="D5" s="9">
        <v>89</v>
      </c>
      <c r="E5" s="9">
        <f t="shared" si="0"/>
        <v>211</v>
      </c>
      <c r="G5" s="9"/>
      <c r="H5" s="9"/>
    </row>
    <row r="6" spans="1:11" ht="15">
      <c r="A6" s="106" t="s">
        <v>1283</v>
      </c>
      <c r="B6" s="9">
        <v>87</v>
      </c>
      <c r="C6" s="9">
        <v>67</v>
      </c>
      <c r="D6" s="9">
        <v>45</v>
      </c>
      <c r="E6" s="9">
        <f t="shared" si="0"/>
        <v>199</v>
      </c>
      <c r="G6" s="9"/>
      <c r="H6" s="9"/>
    </row>
    <row r="7" spans="1:11" ht="15">
      <c r="A7" s="106" t="s">
        <v>1284</v>
      </c>
      <c r="B7" s="9">
        <v>56</v>
      </c>
      <c r="C7" s="9">
        <v>89</v>
      </c>
      <c r="D7" s="9">
        <v>65</v>
      </c>
      <c r="E7" s="9">
        <f t="shared" si="0"/>
        <v>210</v>
      </c>
      <c r="G7" s="9"/>
      <c r="H7" s="9"/>
    </row>
    <row r="8" spans="1:11" ht="15">
      <c r="A8" s="106" t="s">
        <v>209</v>
      </c>
      <c r="B8" s="9">
        <v>88</v>
      </c>
      <c r="C8" s="9">
        <v>90</v>
      </c>
      <c r="D8" s="9">
        <v>61</v>
      </c>
      <c r="E8" s="9">
        <f t="shared" si="0"/>
        <v>239</v>
      </c>
      <c r="G8" s="9"/>
      <c r="H8" s="9"/>
    </row>
    <row r="9" spans="1:11" ht="15">
      <c r="A9" s="106" t="s">
        <v>267</v>
      </c>
      <c r="B9" s="9">
        <v>90</v>
      </c>
      <c r="C9" s="9">
        <v>91</v>
      </c>
      <c r="D9" s="9">
        <v>71</v>
      </c>
      <c r="E9" s="9">
        <f t="shared" si="0"/>
        <v>252</v>
      </c>
      <c r="G9" s="9"/>
      <c r="H9" s="9"/>
    </row>
    <row r="10" spans="1:11" ht="15">
      <c r="A10" s="106" t="s">
        <v>702</v>
      </c>
      <c r="B10" s="9">
        <v>98</v>
      </c>
      <c r="C10" s="9">
        <v>98</v>
      </c>
      <c r="D10" s="9">
        <v>61</v>
      </c>
      <c r="E10" s="9">
        <f t="shared" si="0"/>
        <v>257</v>
      </c>
      <c r="G10" s="9"/>
      <c r="H10" s="9"/>
    </row>
    <row r="11" spans="1:11" ht="15">
      <c r="A11" s="106" t="s">
        <v>1285</v>
      </c>
      <c r="B11" s="9">
        <v>78</v>
      </c>
      <c r="C11" s="9">
        <v>89</v>
      </c>
      <c r="D11" s="9">
        <v>78</v>
      </c>
      <c r="E11" s="9">
        <f t="shared" si="0"/>
        <v>245</v>
      </c>
      <c r="G11" s="9"/>
      <c r="H11" s="9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>
      <selection activeCell="N19" sqref="N19"/>
    </sheetView>
  </sheetViews>
  <sheetFormatPr defaultColWidth="9" defaultRowHeight="14.4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627E-D2B3-489C-97FE-7DA71534517B}">
  <dimension ref="A1:E13"/>
  <sheetViews>
    <sheetView workbookViewId="0">
      <selection activeCell="E4" sqref="E4"/>
    </sheetView>
  </sheetViews>
  <sheetFormatPr defaultRowHeight="14.4"/>
  <cols>
    <col min="2" max="2" width="10.33203125" bestFit="1" customWidth="1"/>
  </cols>
  <sheetData>
    <row r="1" spans="1:5">
      <c r="A1" s="191" t="s">
        <v>1293</v>
      </c>
      <c r="B1" s="191"/>
      <c r="C1" s="191"/>
      <c r="D1" s="191"/>
      <c r="E1" s="191"/>
    </row>
    <row r="2" spans="1:5">
      <c r="A2" s="191"/>
      <c r="B2" s="191"/>
      <c r="C2" s="191"/>
      <c r="D2" s="191"/>
      <c r="E2" s="191"/>
    </row>
    <row r="3" spans="1:5" ht="15">
      <c r="B3" s="106" t="s">
        <v>1294</v>
      </c>
      <c r="C3" s="106" t="s">
        <v>1295</v>
      </c>
    </row>
    <row r="4" spans="1:5" ht="15">
      <c r="B4" s="111">
        <v>45877</v>
      </c>
      <c r="C4" s="9" t="str">
        <f>TEXT(B4,"dddd")</f>
        <v>Friday</v>
      </c>
    </row>
    <row r="5" spans="1:5" ht="15">
      <c r="B5" s="111">
        <v>45878</v>
      </c>
      <c r="C5" s="9" t="str">
        <f t="shared" ref="C5:C12" si="0">TEXT(B5,"dddd")</f>
        <v>Saturday</v>
      </c>
    </row>
    <row r="6" spans="1:5" ht="15">
      <c r="B6" s="111">
        <v>45879</v>
      </c>
      <c r="C6" s="9" t="str">
        <f t="shared" si="0"/>
        <v>Sunday</v>
      </c>
    </row>
    <row r="7" spans="1:5" ht="15">
      <c r="B7" s="111">
        <v>45880</v>
      </c>
      <c r="C7" s="9" t="str">
        <f t="shared" si="0"/>
        <v>Monday</v>
      </c>
    </row>
    <row r="8" spans="1:5" ht="15">
      <c r="B8" s="111">
        <v>45881</v>
      </c>
      <c r="C8" s="9" t="str">
        <f t="shared" si="0"/>
        <v>Tuesday</v>
      </c>
    </row>
    <row r="9" spans="1:5" ht="15">
      <c r="B9" s="111">
        <v>45882</v>
      </c>
      <c r="C9" s="9" t="str">
        <f t="shared" si="0"/>
        <v>Wednesday</v>
      </c>
    </row>
    <row r="10" spans="1:5" ht="15">
      <c r="B10" s="111">
        <v>45883</v>
      </c>
      <c r="C10" s="9" t="str">
        <f t="shared" si="0"/>
        <v>Thursday</v>
      </c>
    </row>
    <row r="11" spans="1:5" ht="15">
      <c r="B11" s="111">
        <v>45884</v>
      </c>
      <c r="C11" s="9" t="str">
        <f t="shared" si="0"/>
        <v>Friday</v>
      </c>
    </row>
    <row r="12" spans="1:5" ht="15">
      <c r="B12" s="111">
        <v>45885</v>
      </c>
      <c r="C12" s="9" t="str">
        <f t="shared" si="0"/>
        <v>Saturday</v>
      </c>
    </row>
    <row r="13" spans="1:5" ht="15">
      <c r="B13" s="105"/>
    </row>
  </sheetData>
  <mergeCells count="1">
    <mergeCell ref="A1:E2"/>
  </mergeCells>
  <phoneticPr fontId="45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2A22-6F1E-4F73-BB71-D4567E0B0BF6}">
  <dimension ref="A1:D3"/>
  <sheetViews>
    <sheetView workbookViewId="0">
      <selection activeCell="G4" sqref="G4"/>
    </sheetView>
  </sheetViews>
  <sheetFormatPr defaultRowHeight="14.4"/>
  <cols>
    <col min="4" max="4" width="18.21875" customWidth="1"/>
  </cols>
  <sheetData>
    <row r="1" spans="1:4" ht="15">
      <c r="A1" s="110" t="s">
        <v>1286</v>
      </c>
      <c r="B1" s="110" t="s">
        <v>1287</v>
      </c>
      <c r="C1" s="110" t="s">
        <v>1288</v>
      </c>
      <c r="D1" s="110" t="s">
        <v>1289</v>
      </c>
    </row>
    <row r="2" spans="1:4" ht="15">
      <c r="A2" s="108" t="s">
        <v>1290</v>
      </c>
      <c r="B2" s="108" t="s">
        <v>1291</v>
      </c>
      <c r="C2" s="108" t="s">
        <v>1292</v>
      </c>
      <c r="D2" s="42" t="str">
        <f>_xlfn.TEXTJOIN(" ",TRUE,A2:C2)</f>
        <v>ABC DEF GHI</v>
      </c>
    </row>
    <row r="3" spans="1:4">
      <c r="A3" s="9">
        <v>123</v>
      </c>
      <c r="B3" s="9">
        <v>456</v>
      </c>
      <c r="C3" s="9">
        <v>789</v>
      </c>
      <c r="D3" s="9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BAAA-69E1-4214-A75D-99E747134C8B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E184-4333-4681-B5A3-4B058D6DC67A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N11"/>
  <sheetViews>
    <sheetView workbookViewId="0">
      <selection activeCell="J31" sqref="J31"/>
    </sheetView>
  </sheetViews>
  <sheetFormatPr defaultColWidth="9" defaultRowHeight="14.4"/>
  <cols>
    <col min="12" max="12" width="19.109375" customWidth="1"/>
  </cols>
  <sheetData>
    <row r="1" spans="2:14" ht="15">
      <c r="L1" s="105" t="s">
        <v>1319</v>
      </c>
    </row>
    <row r="2" spans="2:14">
      <c r="B2">
        <v>12</v>
      </c>
      <c r="C2">
        <v>55</v>
      </c>
      <c r="D2">
        <v>77</v>
      </c>
      <c r="E2">
        <v>0</v>
      </c>
      <c r="G2">
        <v>99</v>
      </c>
      <c r="H2">
        <v>88</v>
      </c>
      <c r="I2">
        <v>77</v>
      </c>
      <c r="J2">
        <v>66</v>
      </c>
    </row>
    <row r="3" spans="2:14">
      <c r="B3">
        <v>23</v>
      </c>
      <c r="C3">
        <v>56</v>
      </c>
      <c r="D3">
        <v>87</v>
      </c>
      <c r="E3">
        <v>88</v>
      </c>
      <c r="G3">
        <v>100</v>
      </c>
      <c r="H3">
        <v>200</v>
      </c>
      <c r="I3">
        <v>300</v>
      </c>
      <c r="J3">
        <v>400</v>
      </c>
    </row>
    <row r="8" spans="2:14">
      <c r="B8" cm="1">
        <f t="array" ref="B8:E11">_xlfn.VSTACK(B2:E3,G2:J3)</f>
        <v>12</v>
      </c>
      <c r="C8">
        <v>55</v>
      </c>
      <c r="D8">
        <v>77</v>
      </c>
      <c r="E8">
        <v>0</v>
      </c>
      <c r="G8" cm="1">
        <f t="array" ref="G8:N9">_xlfn.HSTACK(B2:E3,G2:J3)</f>
        <v>12</v>
      </c>
      <c r="H8">
        <v>55</v>
      </c>
      <c r="I8">
        <v>77</v>
      </c>
      <c r="J8">
        <v>0</v>
      </c>
      <c r="K8">
        <v>99</v>
      </c>
      <c r="L8">
        <v>88</v>
      </c>
      <c r="M8">
        <v>77</v>
      </c>
      <c r="N8">
        <v>66</v>
      </c>
    </row>
    <row r="9" spans="2:14">
      <c r="B9">
        <v>23</v>
      </c>
      <c r="C9">
        <v>56</v>
      </c>
      <c r="D9">
        <v>87</v>
      </c>
      <c r="E9">
        <v>88</v>
      </c>
      <c r="G9">
        <v>23</v>
      </c>
      <c r="H9">
        <v>56</v>
      </c>
      <c r="I9">
        <v>87</v>
      </c>
      <c r="J9">
        <v>88</v>
      </c>
      <c r="K9">
        <v>100</v>
      </c>
      <c r="L9">
        <v>200</v>
      </c>
      <c r="M9">
        <v>300</v>
      </c>
      <c r="N9">
        <v>400</v>
      </c>
    </row>
    <row r="10" spans="2:14">
      <c r="B10">
        <v>99</v>
      </c>
      <c r="C10">
        <v>88</v>
      </c>
      <c r="D10">
        <v>77</v>
      </c>
      <c r="E10">
        <v>66</v>
      </c>
    </row>
    <row r="11" spans="2:14">
      <c r="B11">
        <v>100</v>
      </c>
      <c r="C11">
        <v>200</v>
      </c>
      <c r="D11">
        <v>300</v>
      </c>
      <c r="E11">
        <v>400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5545-4C0D-4E3E-B27A-A31FA5B50F3B}">
  <dimension ref="A1:J34"/>
  <sheetViews>
    <sheetView workbookViewId="0">
      <selection activeCell="A6" sqref="A6"/>
    </sheetView>
  </sheetViews>
  <sheetFormatPr defaultRowHeight="14.4"/>
  <cols>
    <col min="1" max="2" width="15.33203125" customWidth="1"/>
    <col min="3" max="3" width="15.33203125" style="104" customWidth="1"/>
    <col min="4" max="5" width="15.33203125" customWidth="1"/>
  </cols>
  <sheetData>
    <row r="1" spans="1:10" ht="14.4" customHeight="1">
      <c r="A1" s="192" t="s">
        <v>1296</v>
      </c>
      <c r="B1" s="192"/>
      <c r="C1" s="192"/>
      <c r="D1" s="192"/>
      <c r="E1" s="192"/>
      <c r="F1" s="192"/>
      <c r="G1" s="192"/>
      <c r="H1" s="192"/>
      <c r="I1" s="192"/>
      <c r="J1" s="192"/>
    </row>
    <row r="2" spans="1:10">
      <c r="A2" s="192"/>
      <c r="B2" s="192"/>
      <c r="C2" s="192"/>
      <c r="D2" s="192"/>
      <c r="E2" s="192"/>
      <c r="F2" s="192"/>
      <c r="G2" s="192"/>
      <c r="H2" s="192"/>
      <c r="I2" s="192"/>
      <c r="J2" s="192"/>
    </row>
    <row r="3" spans="1:10" ht="15">
      <c r="A3" s="193" t="s">
        <v>1297</v>
      </c>
      <c r="B3" s="194"/>
      <c r="C3" s="194"/>
      <c r="D3" s="194"/>
      <c r="E3" s="194"/>
      <c r="F3" s="194"/>
      <c r="G3" s="194"/>
      <c r="H3" s="194"/>
      <c r="I3" s="194"/>
      <c r="J3" s="194"/>
    </row>
    <row r="4" spans="1:10" ht="15">
      <c r="C4" s="123" t="s">
        <v>1298</v>
      </c>
      <c r="D4" s="113" t="s">
        <v>1299</v>
      </c>
      <c r="E4" s="113" t="s">
        <v>1300</v>
      </c>
      <c r="F4" s="113" t="s">
        <v>1301</v>
      </c>
      <c r="G4" s="113" t="s">
        <v>262</v>
      </c>
    </row>
    <row r="5" spans="1:10">
      <c r="C5" s="112" cm="1">
        <f t="array" ref="C5:G34">_xlfn.VSTACK(Table1[],Table2[])</f>
        <v>44600</v>
      </c>
      <c r="D5" s="9" t="str">
        <v>Aman</v>
      </c>
      <c r="E5" s="9" t="str">
        <v>Manager</v>
      </c>
      <c r="F5" s="9" t="str">
        <v>Mumbai</v>
      </c>
      <c r="G5" s="9">
        <v>35000</v>
      </c>
    </row>
    <row r="6" spans="1:10" ht="15">
      <c r="A6" s="105" t="s">
        <v>1318</v>
      </c>
      <c r="C6" s="112">
        <v>44629</v>
      </c>
      <c r="D6" s="9" t="str">
        <v>Suraj</v>
      </c>
      <c r="E6" s="9" t="str">
        <v>Marketing Manager</v>
      </c>
      <c r="F6" s="9" t="str">
        <v>Pune</v>
      </c>
      <c r="G6" s="9">
        <v>40000</v>
      </c>
    </row>
    <row r="7" spans="1:10">
      <c r="C7" s="112">
        <v>44658</v>
      </c>
      <c r="D7" s="9" t="str">
        <v>Karan</v>
      </c>
      <c r="E7" s="9" t="str">
        <v>Sales Manager</v>
      </c>
      <c r="F7" s="9" t="str">
        <v>Solhapur</v>
      </c>
      <c r="G7" s="9">
        <v>45000</v>
      </c>
    </row>
    <row r="8" spans="1:10">
      <c r="C8" s="112">
        <v>44687</v>
      </c>
      <c r="D8" s="9" t="str">
        <v>Punam</v>
      </c>
      <c r="E8" s="9" t="str">
        <v>Marketing Manager</v>
      </c>
      <c r="F8" s="9" t="str">
        <v>Washim</v>
      </c>
      <c r="G8" s="9">
        <v>50000</v>
      </c>
    </row>
    <row r="9" spans="1:10">
      <c r="C9" s="112">
        <v>44716</v>
      </c>
      <c r="D9" s="9" t="str">
        <v>Mohan</v>
      </c>
      <c r="E9" s="9" t="str">
        <v>SalesHead</v>
      </c>
      <c r="F9" s="9" t="str">
        <v>Wardha</v>
      </c>
      <c r="G9" s="9">
        <v>55000</v>
      </c>
    </row>
    <row r="10" spans="1:10">
      <c r="C10" s="112">
        <v>44745</v>
      </c>
      <c r="D10" s="9" t="str">
        <v>Rohan</v>
      </c>
      <c r="E10" s="9" t="str">
        <v>Finance Manager</v>
      </c>
      <c r="F10" s="9" t="str">
        <v>Mumbai</v>
      </c>
      <c r="G10" s="9">
        <v>60000</v>
      </c>
    </row>
    <row r="11" spans="1:10">
      <c r="C11" s="112">
        <v>44774</v>
      </c>
      <c r="D11" s="9" t="str">
        <v>Sohan</v>
      </c>
      <c r="E11" s="9" t="str">
        <v>Manager</v>
      </c>
      <c r="F11" s="9" t="str">
        <v>Nagpur</v>
      </c>
      <c r="G11" s="9">
        <v>65000</v>
      </c>
    </row>
    <row r="12" spans="1:10">
      <c r="C12" s="112">
        <v>44803</v>
      </c>
      <c r="D12" s="9" t="str">
        <v>Rakesh</v>
      </c>
      <c r="E12" s="9" t="str">
        <v>Marketing Manager</v>
      </c>
      <c r="F12" s="9" t="str">
        <v>Pune</v>
      </c>
      <c r="G12" s="9">
        <v>70000</v>
      </c>
    </row>
    <row r="13" spans="1:10">
      <c r="C13" s="112">
        <v>44832</v>
      </c>
      <c r="D13" s="9" t="str">
        <v>Roshan</v>
      </c>
      <c r="E13" s="9" t="str">
        <v>Sales Manager</v>
      </c>
      <c r="F13" s="9" t="str">
        <v>Thane</v>
      </c>
      <c r="G13" s="9">
        <v>75000</v>
      </c>
    </row>
    <row r="14" spans="1:10">
      <c r="C14" s="112">
        <v>44861</v>
      </c>
      <c r="D14" s="9" t="str">
        <v>Punit</v>
      </c>
      <c r="E14" s="9" t="str">
        <v>Marketing Manager</v>
      </c>
      <c r="F14" s="9" t="str">
        <v>Pune</v>
      </c>
      <c r="G14" s="9">
        <v>80000</v>
      </c>
    </row>
    <row r="15" spans="1:10">
      <c r="C15" s="112">
        <v>44890</v>
      </c>
      <c r="D15" s="9" t="str">
        <v>Sunit</v>
      </c>
      <c r="E15" s="9" t="str">
        <v>SalesHead</v>
      </c>
      <c r="F15" s="9" t="str">
        <v>Mumbai</v>
      </c>
      <c r="G15" s="9">
        <v>85000</v>
      </c>
    </row>
    <row r="16" spans="1:10">
      <c r="C16" s="112">
        <v>44919</v>
      </c>
      <c r="D16" s="9" t="str">
        <v>Anit</v>
      </c>
      <c r="E16" s="9" t="str">
        <v>Finance Manager</v>
      </c>
      <c r="F16" s="9" t="str">
        <v>Nagpur</v>
      </c>
      <c r="G16" s="9">
        <v>90000</v>
      </c>
    </row>
    <row r="17" spans="1:7">
      <c r="C17" s="112">
        <v>44948</v>
      </c>
      <c r="D17" s="9" t="str">
        <v>Komal</v>
      </c>
      <c r="E17" s="9" t="str">
        <v>Manager</v>
      </c>
      <c r="F17" s="9" t="str">
        <v>Wardha</v>
      </c>
      <c r="G17" s="9">
        <v>95000</v>
      </c>
    </row>
    <row r="18" spans="1:7">
      <c r="C18" s="112">
        <v>44977</v>
      </c>
      <c r="D18" s="9" t="str">
        <v>Khushbu</v>
      </c>
      <c r="E18" s="9" t="str">
        <v>Marketing Manager</v>
      </c>
      <c r="F18" s="9" t="str">
        <v>Katol</v>
      </c>
      <c r="G18" s="9">
        <v>100000</v>
      </c>
    </row>
    <row r="19" spans="1:7">
      <c r="C19" s="112">
        <v>45006</v>
      </c>
      <c r="D19" s="9" t="str">
        <v>Manoj</v>
      </c>
      <c r="E19" s="9" t="str">
        <v>Sales Manager</v>
      </c>
      <c r="F19" s="9" t="str">
        <v>Bhandara</v>
      </c>
      <c r="G19" s="9">
        <v>105000</v>
      </c>
    </row>
    <row r="20" spans="1:7">
      <c r="C20" s="112">
        <v>43869</v>
      </c>
      <c r="D20" s="9" t="str">
        <v>Aman</v>
      </c>
      <c r="E20" s="9" t="str">
        <v>Manager</v>
      </c>
      <c r="F20" s="9" t="str">
        <v>Bhandara</v>
      </c>
      <c r="G20" s="9">
        <v>37000</v>
      </c>
    </row>
    <row r="21" spans="1:7">
      <c r="C21" s="112">
        <v>43899</v>
      </c>
      <c r="D21" s="9" t="str">
        <v>Suraj</v>
      </c>
      <c r="E21" s="9" t="str">
        <v>Marketing Manager</v>
      </c>
      <c r="F21" s="9" t="str">
        <v>Katol</v>
      </c>
      <c r="G21" s="9">
        <v>40000</v>
      </c>
    </row>
    <row r="22" spans="1:7">
      <c r="C22" s="112">
        <v>43929</v>
      </c>
      <c r="D22" s="9" t="str">
        <v>Karan</v>
      </c>
      <c r="E22" s="9" t="str">
        <v>Sales Manager</v>
      </c>
      <c r="F22" s="9" t="str">
        <v>Mumbai</v>
      </c>
      <c r="G22" s="9">
        <v>43000</v>
      </c>
    </row>
    <row r="23" spans="1:7">
      <c r="C23" s="112">
        <v>43959</v>
      </c>
      <c r="D23" s="9" t="str">
        <v>Punam</v>
      </c>
      <c r="E23" s="9" t="str">
        <v>Marketing Manager</v>
      </c>
      <c r="F23" s="9" t="str">
        <v>Mumbai</v>
      </c>
      <c r="G23" s="9">
        <v>46000</v>
      </c>
    </row>
    <row r="24" spans="1:7">
      <c r="C24" s="112">
        <v>43989</v>
      </c>
      <c r="D24" s="9" t="str">
        <v>Mohan</v>
      </c>
      <c r="E24" s="9" t="str">
        <v>SalesHead</v>
      </c>
      <c r="F24" s="9" t="str">
        <v>Mumbai</v>
      </c>
      <c r="G24" s="9">
        <v>49000</v>
      </c>
    </row>
    <row r="25" spans="1:7">
      <c r="C25" s="112">
        <v>44019</v>
      </c>
      <c r="D25" s="9" t="str">
        <v>Rohan</v>
      </c>
      <c r="E25" s="9" t="str">
        <v>Finance Manager</v>
      </c>
      <c r="F25" s="9" t="str">
        <v>Nagpur</v>
      </c>
      <c r="G25" s="9">
        <v>52000</v>
      </c>
    </row>
    <row r="26" spans="1:7">
      <c r="C26" s="112">
        <v>44049</v>
      </c>
      <c r="D26" s="9" t="str">
        <v>Sohan</v>
      </c>
      <c r="E26" s="9" t="str">
        <v>Manager</v>
      </c>
      <c r="F26" s="9" t="str">
        <v>Nagpur</v>
      </c>
      <c r="G26" s="9">
        <v>55000</v>
      </c>
    </row>
    <row r="27" spans="1:7">
      <c r="C27" s="112">
        <v>44079</v>
      </c>
      <c r="D27" s="9" t="str">
        <v>Rakesh</v>
      </c>
      <c r="E27" s="9" t="str">
        <v>Marketing Manager</v>
      </c>
      <c r="F27" s="9" t="str">
        <v>Pune</v>
      </c>
      <c r="G27" s="9">
        <v>58000</v>
      </c>
    </row>
    <row r="28" spans="1:7">
      <c r="C28" s="112">
        <v>44109</v>
      </c>
      <c r="D28" s="9" t="str">
        <v>Roshan</v>
      </c>
      <c r="E28" s="9" t="str">
        <v>Sales Manager</v>
      </c>
      <c r="F28" s="9" t="str">
        <v>Pune</v>
      </c>
      <c r="G28" s="9">
        <v>61000</v>
      </c>
    </row>
    <row r="29" spans="1:7">
      <c r="C29" s="112">
        <v>44139</v>
      </c>
      <c r="D29" s="9" t="str">
        <v>Punit</v>
      </c>
      <c r="E29" s="9" t="str">
        <v>Marketing Manager</v>
      </c>
      <c r="F29" s="9" t="str">
        <v>Pune</v>
      </c>
      <c r="G29" s="9">
        <v>64000</v>
      </c>
    </row>
    <row r="30" spans="1:7">
      <c r="C30" s="112">
        <v>44169</v>
      </c>
      <c r="D30" s="9" t="str">
        <v>Sunit</v>
      </c>
      <c r="E30" s="9" t="str">
        <v>SalesHead</v>
      </c>
      <c r="F30" s="9" t="str">
        <v>Solhapur</v>
      </c>
      <c r="G30" s="9">
        <v>67000</v>
      </c>
    </row>
    <row r="31" spans="1:7">
      <c r="C31" s="112">
        <v>44199</v>
      </c>
      <c r="D31" s="9" t="str">
        <v>Anit</v>
      </c>
      <c r="E31" s="9" t="str">
        <v>Finance Manager</v>
      </c>
      <c r="F31" s="9" t="str">
        <v>Thane</v>
      </c>
      <c r="G31" s="9">
        <v>70000</v>
      </c>
    </row>
    <row r="32" spans="1:7" ht="15">
      <c r="A32" s="105" t="s">
        <v>1317</v>
      </c>
      <c r="C32" s="112">
        <v>44229</v>
      </c>
      <c r="D32" s="9" t="str">
        <v>Komal</v>
      </c>
      <c r="E32" s="9" t="str">
        <v>Manager</v>
      </c>
      <c r="F32" s="9" t="str">
        <v>Wardha</v>
      </c>
      <c r="G32" s="9">
        <v>73000</v>
      </c>
    </row>
    <row r="33" spans="3:7">
      <c r="C33" s="112">
        <v>44259</v>
      </c>
      <c r="D33" s="9" t="str">
        <v>Khushbu</v>
      </c>
      <c r="E33" s="9" t="str">
        <v>Marketing Manager</v>
      </c>
      <c r="F33" s="9" t="str">
        <v>Wardha</v>
      </c>
      <c r="G33" s="9">
        <v>76000</v>
      </c>
    </row>
    <row r="34" spans="3:7">
      <c r="C34" s="112">
        <v>44289</v>
      </c>
      <c r="D34" s="9" t="str">
        <v>Manoj</v>
      </c>
      <c r="E34" s="9" t="str">
        <v>Sales Manager</v>
      </c>
      <c r="F34" s="9" t="str">
        <v>Washim</v>
      </c>
      <c r="G34" s="9">
        <v>79000</v>
      </c>
    </row>
  </sheetData>
  <mergeCells count="2">
    <mergeCell ref="A1:J2"/>
    <mergeCell ref="A3:J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C7E0-506C-4A01-ADF4-3D7D917FF59D}">
  <dimension ref="A1:E17"/>
  <sheetViews>
    <sheetView workbookViewId="0">
      <selection activeCell="C18" sqref="C18"/>
    </sheetView>
  </sheetViews>
  <sheetFormatPr defaultRowHeight="14.4"/>
  <cols>
    <col min="1" max="1" width="14.44140625" customWidth="1"/>
    <col min="2" max="2" width="12" customWidth="1"/>
    <col min="3" max="3" width="20" customWidth="1"/>
  </cols>
  <sheetData>
    <row r="1" spans="1:5" ht="15">
      <c r="A1" s="117" t="s">
        <v>1298</v>
      </c>
      <c r="B1" s="118" t="s">
        <v>1299</v>
      </c>
      <c r="C1" s="118" t="s">
        <v>1300</v>
      </c>
      <c r="D1" s="118" t="s">
        <v>1301</v>
      </c>
      <c r="E1" s="119" t="s">
        <v>262</v>
      </c>
    </row>
    <row r="2" spans="1:5" ht="15">
      <c r="A2" s="115">
        <v>44600</v>
      </c>
      <c r="B2" s="108" t="s">
        <v>109</v>
      </c>
      <c r="C2" s="108" t="s">
        <v>1309</v>
      </c>
      <c r="D2" s="106" t="s">
        <v>18</v>
      </c>
      <c r="E2" s="116">
        <v>35000</v>
      </c>
    </row>
    <row r="3" spans="1:5" ht="15">
      <c r="A3" s="115">
        <v>44629</v>
      </c>
      <c r="B3" s="108" t="s">
        <v>92</v>
      </c>
      <c r="C3" s="108" t="s">
        <v>1310</v>
      </c>
      <c r="D3" s="106" t="s">
        <v>20</v>
      </c>
      <c r="E3" s="116">
        <v>40000</v>
      </c>
    </row>
    <row r="4" spans="1:5" ht="15">
      <c r="A4" s="115">
        <v>44658</v>
      </c>
      <c r="B4" s="108" t="s">
        <v>17</v>
      </c>
      <c r="C4" s="108" t="s">
        <v>1314</v>
      </c>
      <c r="D4" s="106" t="s">
        <v>77</v>
      </c>
      <c r="E4" s="116">
        <v>45000</v>
      </c>
    </row>
    <row r="5" spans="1:5" ht="15">
      <c r="A5" s="115">
        <v>44687</v>
      </c>
      <c r="B5" s="108" t="s">
        <v>910</v>
      </c>
      <c r="C5" s="108" t="s">
        <v>1310</v>
      </c>
      <c r="D5" s="106" t="s">
        <v>1311</v>
      </c>
      <c r="E5" s="116">
        <v>50000</v>
      </c>
    </row>
    <row r="6" spans="1:5" ht="15">
      <c r="A6" s="115">
        <v>44716</v>
      </c>
      <c r="B6" s="108" t="s">
        <v>1302</v>
      </c>
      <c r="C6" s="108" t="s">
        <v>1315</v>
      </c>
      <c r="D6" s="106" t="s">
        <v>62</v>
      </c>
      <c r="E6" s="116">
        <v>55000</v>
      </c>
    </row>
    <row r="7" spans="1:5" ht="15">
      <c r="A7" s="115">
        <v>44745</v>
      </c>
      <c r="B7" s="108" t="s">
        <v>913</v>
      </c>
      <c r="C7" s="108" t="s">
        <v>1316</v>
      </c>
      <c r="D7" s="106" t="s">
        <v>18</v>
      </c>
      <c r="E7" s="116">
        <v>60000</v>
      </c>
    </row>
    <row r="8" spans="1:5" ht="15">
      <c r="A8" s="115">
        <v>44774</v>
      </c>
      <c r="B8" s="108" t="s">
        <v>1303</v>
      </c>
      <c r="C8" s="108" t="s">
        <v>1309</v>
      </c>
      <c r="D8" s="106" t="s">
        <v>16</v>
      </c>
      <c r="E8" s="116">
        <v>65000</v>
      </c>
    </row>
    <row r="9" spans="1:5" ht="15">
      <c r="A9" s="115">
        <v>44803</v>
      </c>
      <c r="B9" s="108" t="s">
        <v>365</v>
      </c>
      <c r="C9" s="108" t="s">
        <v>1310</v>
      </c>
      <c r="D9" s="106" t="s">
        <v>20</v>
      </c>
      <c r="E9" s="116">
        <v>70000</v>
      </c>
    </row>
    <row r="10" spans="1:5" ht="15">
      <c r="A10" s="115">
        <v>44832</v>
      </c>
      <c r="B10" s="108" t="s">
        <v>914</v>
      </c>
      <c r="C10" s="108" t="s">
        <v>1314</v>
      </c>
      <c r="D10" s="106" t="s">
        <v>71</v>
      </c>
      <c r="E10" s="116">
        <v>75000</v>
      </c>
    </row>
    <row r="11" spans="1:5" ht="15">
      <c r="A11" s="115">
        <v>44861</v>
      </c>
      <c r="B11" s="108" t="s">
        <v>1304</v>
      </c>
      <c r="C11" s="108" t="s">
        <v>1310</v>
      </c>
      <c r="D11" s="106" t="s">
        <v>20</v>
      </c>
      <c r="E11" s="116">
        <v>80000</v>
      </c>
    </row>
    <row r="12" spans="1:5" ht="15">
      <c r="A12" s="115">
        <v>44890</v>
      </c>
      <c r="B12" s="108" t="s">
        <v>1305</v>
      </c>
      <c r="C12" s="108" t="s">
        <v>1315</v>
      </c>
      <c r="D12" s="106" t="s">
        <v>18</v>
      </c>
      <c r="E12" s="116">
        <v>85000</v>
      </c>
    </row>
    <row r="13" spans="1:5" ht="15">
      <c r="A13" s="115">
        <v>44919</v>
      </c>
      <c r="B13" s="108" t="s">
        <v>1306</v>
      </c>
      <c r="C13" s="108" t="s">
        <v>1316</v>
      </c>
      <c r="D13" s="106" t="s">
        <v>16</v>
      </c>
      <c r="E13" s="116">
        <v>90000</v>
      </c>
    </row>
    <row r="14" spans="1:5" ht="15">
      <c r="A14" s="115">
        <v>44948</v>
      </c>
      <c r="B14" s="108" t="s">
        <v>1307</v>
      </c>
      <c r="C14" s="108" t="s">
        <v>1309</v>
      </c>
      <c r="D14" s="106" t="s">
        <v>62</v>
      </c>
      <c r="E14" s="116">
        <v>95000</v>
      </c>
    </row>
    <row r="15" spans="1:5" ht="15">
      <c r="A15" s="115">
        <v>44977</v>
      </c>
      <c r="B15" s="108" t="s">
        <v>1308</v>
      </c>
      <c r="C15" s="108" t="s">
        <v>1310</v>
      </c>
      <c r="D15" s="106" t="s">
        <v>1312</v>
      </c>
      <c r="E15" s="116">
        <v>100000</v>
      </c>
    </row>
    <row r="16" spans="1:5" ht="15">
      <c r="A16" s="120">
        <v>45006</v>
      </c>
      <c r="B16" s="114" t="s">
        <v>265</v>
      </c>
      <c r="C16" s="114" t="s">
        <v>1314</v>
      </c>
      <c r="D16" s="121" t="s">
        <v>1313</v>
      </c>
      <c r="E16" s="122">
        <v>105000</v>
      </c>
    </row>
    <row r="17" spans="3:3" ht="15">
      <c r="C17" s="108"/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3647-A097-4E7A-9730-F5BB0CDF81D0}">
  <dimension ref="A1:E16"/>
  <sheetViews>
    <sheetView workbookViewId="0">
      <selection sqref="A1:E16"/>
    </sheetView>
  </sheetViews>
  <sheetFormatPr defaultRowHeight="14.4"/>
  <cols>
    <col min="1" max="1" width="11.77734375" customWidth="1"/>
    <col min="2" max="2" width="12" customWidth="1"/>
    <col min="3" max="3" width="12.109375" customWidth="1"/>
  </cols>
  <sheetData>
    <row r="1" spans="1:5" ht="15">
      <c r="A1" s="117" t="s">
        <v>1298</v>
      </c>
      <c r="B1" s="118" t="s">
        <v>1299</v>
      </c>
      <c r="C1" s="118" t="s">
        <v>1300</v>
      </c>
      <c r="D1" s="118" t="s">
        <v>1301</v>
      </c>
      <c r="E1" s="119" t="s">
        <v>262</v>
      </c>
    </row>
    <row r="2" spans="1:5" ht="15">
      <c r="A2" s="115">
        <v>43869</v>
      </c>
      <c r="B2" s="108" t="s">
        <v>109</v>
      </c>
      <c r="C2" s="108" t="s">
        <v>1309</v>
      </c>
      <c r="D2" s="106" t="s">
        <v>1313</v>
      </c>
      <c r="E2" s="116">
        <v>37000</v>
      </c>
    </row>
    <row r="3" spans="1:5" ht="15">
      <c r="A3" s="115">
        <v>43899</v>
      </c>
      <c r="B3" s="108" t="s">
        <v>92</v>
      </c>
      <c r="C3" s="108" t="s">
        <v>1310</v>
      </c>
      <c r="D3" s="106" t="s">
        <v>1312</v>
      </c>
      <c r="E3" s="116">
        <v>40000</v>
      </c>
    </row>
    <row r="4" spans="1:5" ht="15">
      <c r="A4" s="115">
        <v>43929</v>
      </c>
      <c r="B4" s="108" t="s">
        <v>17</v>
      </c>
      <c r="C4" s="108" t="s">
        <v>1314</v>
      </c>
      <c r="D4" s="106" t="s">
        <v>18</v>
      </c>
      <c r="E4" s="116">
        <v>43000</v>
      </c>
    </row>
    <row r="5" spans="1:5" ht="15">
      <c r="A5" s="115">
        <v>43959</v>
      </c>
      <c r="B5" s="108" t="s">
        <v>910</v>
      </c>
      <c r="C5" s="108" t="s">
        <v>1310</v>
      </c>
      <c r="D5" s="106" t="s">
        <v>18</v>
      </c>
      <c r="E5" s="116">
        <v>46000</v>
      </c>
    </row>
    <row r="6" spans="1:5" ht="15">
      <c r="A6" s="115">
        <v>43989</v>
      </c>
      <c r="B6" s="108" t="s">
        <v>1302</v>
      </c>
      <c r="C6" s="108" t="s">
        <v>1315</v>
      </c>
      <c r="D6" s="106" t="s">
        <v>18</v>
      </c>
      <c r="E6" s="116">
        <v>49000</v>
      </c>
    </row>
    <row r="7" spans="1:5" ht="15">
      <c r="A7" s="115">
        <v>44019</v>
      </c>
      <c r="B7" s="108" t="s">
        <v>913</v>
      </c>
      <c r="C7" s="108" t="s">
        <v>1316</v>
      </c>
      <c r="D7" s="106" t="s">
        <v>16</v>
      </c>
      <c r="E7" s="116">
        <v>52000</v>
      </c>
    </row>
    <row r="8" spans="1:5" ht="15">
      <c r="A8" s="115">
        <v>44049</v>
      </c>
      <c r="B8" s="108" t="s">
        <v>1303</v>
      </c>
      <c r="C8" s="108" t="s">
        <v>1309</v>
      </c>
      <c r="D8" s="106" t="s">
        <v>16</v>
      </c>
      <c r="E8" s="116">
        <v>55000</v>
      </c>
    </row>
    <row r="9" spans="1:5" ht="15">
      <c r="A9" s="115">
        <v>44079</v>
      </c>
      <c r="B9" s="108" t="s">
        <v>365</v>
      </c>
      <c r="C9" s="108" t="s">
        <v>1310</v>
      </c>
      <c r="D9" s="106" t="s">
        <v>20</v>
      </c>
      <c r="E9" s="116">
        <v>58000</v>
      </c>
    </row>
    <row r="10" spans="1:5" ht="15">
      <c r="A10" s="115">
        <v>44109</v>
      </c>
      <c r="B10" s="108" t="s">
        <v>914</v>
      </c>
      <c r="C10" s="108" t="s">
        <v>1314</v>
      </c>
      <c r="D10" s="106" t="s">
        <v>20</v>
      </c>
      <c r="E10" s="116">
        <v>61000</v>
      </c>
    </row>
    <row r="11" spans="1:5" ht="15">
      <c r="A11" s="115">
        <v>44139</v>
      </c>
      <c r="B11" s="108" t="s">
        <v>1304</v>
      </c>
      <c r="C11" s="108" t="s">
        <v>1310</v>
      </c>
      <c r="D11" s="106" t="s">
        <v>20</v>
      </c>
      <c r="E11" s="116">
        <v>64000</v>
      </c>
    </row>
    <row r="12" spans="1:5" ht="15">
      <c r="A12" s="115">
        <v>44169</v>
      </c>
      <c r="B12" s="108" t="s">
        <v>1305</v>
      </c>
      <c r="C12" s="108" t="s">
        <v>1315</v>
      </c>
      <c r="D12" s="106" t="s">
        <v>77</v>
      </c>
      <c r="E12" s="116">
        <v>67000</v>
      </c>
    </row>
    <row r="13" spans="1:5" ht="15">
      <c r="A13" s="115">
        <v>44199</v>
      </c>
      <c r="B13" s="108" t="s">
        <v>1306</v>
      </c>
      <c r="C13" s="108" t="s">
        <v>1316</v>
      </c>
      <c r="D13" s="106" t="s">
        <v>71</v>
      </c>
      <c r="E13" s="116">
        <v>70000</v>
      </c>
    </row>
    <row r="14" spans="1:5" ht="15">
      <c r="A14" s="115">
        <v>44229</v>
      </c>
      <c r="B14" s="108" t="s">
        <v>1307</v>
      </c>
      <c r="C14" s="108" t="s">
        <v>1309</v>
      </c>
      <c r="D14" s="106" t="s">
        <v>62</v>
      </c>
      <c r="E14" s="116">
        <v>73000</v>
      </c>
    </row>
    <row r="15" spans="1:5" ht="15">
      <c r="A15" s="115">
        <v>44259</v>
      </c>
      <c r="B15" s="108" t="s">
        <v>1308</v>
      </c>
      <c r="C15" s="108" t="s">
        <v>1310</v>
      </c>
      <c r="D15" s="106" t="s">
        <v>62</v>
      </c>
      <c r="E15" s="116">
        <v>76000</v>
      </c>
    </row>
    <row r="16" spans="1:5" ht="15">
      <c r="A16" s="120">
        <v>44289</v>
      </c>
      <c r="B16" s="114" t="s">
        <v>265</v>
      </c>
      <c r="C16" s="114" t="s">
        <v>1314</v>
      </c>
      <c r="D16" s="121" t="s">
        <v>1311</v>
      </c>
      <c r="E16" s="122">
        <v>79000</v>
      </c>
    </row>
  </sheetData>
  <sortState xmlns:xlrd2="http://schemas.microsoft.com/office/spreadsheetml/2017/richdata2" ref="D2:D16">
    <sortCondition ref="D2:D16"/>
  </sortState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workbookViewId="0">
      <selection activeCell="L15" sqref="L15"/>
    </sheetView>
  </sheetViews>
  <sheetFormatPr defaultColWidth="9" defaultRowHeight="14.4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133"/>
  <sheetViews>
    <sheetView workbookViewId="0">
      <selection activeCell="L9" sqref="L9"/>
    </sheetView>
  </sheetViews>
  <sheetFormatPr defaultColWidth="9" defaultRowHeight="14.4"/>
  <cols>
    <col min="1" max="3" width="20.6640625" customWidth="1"/>
    <col min="4" max="4" width="22.77734375" customWidth="1"/>
  </cols>
  <sheetData>
    <row r="1" spans="1:12">
      <c r="A1" s="195" t="s">
        <v>1173</v>
      </c>
      <c r="B1" s="195"/>
      <c r="C1" s="195"/>
      <c r="D1" s="195"/>
      <c r="E1" s="195"/>
    </row>
    <row r="2" spans="1:12">
      <c r="A2" s="195"/>
      <c r="B2" s="195"/>
      <c r="C2" s="195"/>
      <c r="D2" s="195"/>
      <c r="E2" s="195"/>
    </row>
    <row r="3" spans="1:12">
      <c r="I3">
        <v>1</v>
      </c>
    </row>
    <row r="4" spans="1:12" ht="15">
      <c r="B4" s="99" t="s">
        <v>4</v>
      </c>
      <c r="C4" s="99" t="s">
        <v>1174</v>
      </c>
      <c r="D4" s="99" t="s">
        <v>1175</v>
      </c>
      <c r="I4">
        <v>2</v>
      </c>
    </row>
    <row r="5" spans="1:12" ht="15">
      <c r="B5" s="90" t="s">
        <v>257</v>
      </c>
      <c r="C5" s="90">
        <v>2001</v>
      </c>
      <c r="D5" s="100" t="s">
        <v>1176</v>
      </c>
      <c r="I5">
        <v>3</v>
      </c>
    </row>
    <row r="6" spans="1:12" ht="15">
      <c r="B6" s="90" t="s">
        <v>255</v>
      </c>
      <c r="C6" s="90">
        <v>2000</v>
      </c>
      <c r="D6" s="100" t="s">
        <v>1177</v>
      </c>
      <c r="I6">
        <v>4</v>
      </c>
    </row>
    <row r="7" spans="1:12" ht="15">
      <c r="B7" s="90" t="s">
        <v>253</v>
      </c>
      <c r="C7" s="90">
        <v>1999</v>
      </c>
      <c r="D7" s="100" t="s">
        <v>1178</v>
      </c>
      <c r="I7">
        <v>5</v>
      </c>
    </row>
    <row r="8" spans="1:12" ht="15">
      <c r="B8" s="90" t="s">
        <v>249</v>
      </c>
      <c r="C8" s="90">
        <v>1996</v>
      </c>
      <c r="D8" s="100" t="s">
        <v>1179</v>
      </c>
      <c r="I8">
        <v>6</v>
      </c>
      <c r="K8">
        <v>45</v>
      </c>
      <c r="L8" cm="1">
        <f t="array" ref="L8:L14">_xlfn._xlws.SORT(K8:K14,1,1)</f>
        <v>45</v>
      </c>
    </row>
    <row r="9" spans="1:12" ht="15">
      <c r="B9" s="90" t="s">
        <v>84</v>
      </c>
      <c r="C9" s="90">
        <v>1997</v>
      </c>
      <c r="D9" s="100" t="s">
        <v>1180</v>
      </c>
      <c r="I9">
        <v>7</v>
      </c>
      <c r="K9">
        <v>454</v>
      </c>
      <c r="L9">
        <v>49</v>
      </c>
    </row>
    <row r="10" spans="1:12" ht="15">
      <c r="B10" s="90" t="s">
        <v>243</v>
      </c>
      <c r="C10" s="90">
        <v>1996</v>
      </c>
      <c r="D10" s="100" t="s">
        <v>1181</v>
      </c>
      <c r="I10">
        <v>8</v>
      </c>
      <c r="K10">
        <v>548</v>
      </c>
      <c r="L10">
        <v>58</v>
      </c>
    </row>
    <row r="11" spans="1:12">
      <c r="I11">
        <v>9</v>
      </c>
      <c r="K11">
        <v>58</v>
      </c>
      <c r="L11">
        <v>88</v>
      </c>
    </row>
    <row r="12" spans="1:12">
      <c r="I12">
        <v>10</v>
      </c>
      <c r="K12">
        <v>88</v>
      </c>
      <c r="L12">
        <v>89</v>
      </c>
    </row>
    <row r="13" spans="1:12">
      <c r="K13">
        <v>89</v>
      </c>
      <c r="L13">
        <v>454</v>
      </c>
    </row>
    <row r="14" spans="1:12" ht="15">
      <c r="B14" s="99" t="s">
        <v>4</v>
      </c>
      <c r="C14" s="99" t="s">
        <v>1174</v>
      </c>
      <c r="D14" s="99" t="s">
        <v>1175</v>
      </c>
      <c r="K14">
        <v>49</v>
      </c>
      <c r="L14">
        <v>548</v>
      </c>
    </row>
    <row r="15" spans="1:12" ht="15">
      <c r="B15" s="90" t="str" cm="1">
        <f t="array" ref="B15:D20">_xlfn._xlws.SORT(B5:D10,2,1)</f>
        <v>Riya</v>
      </c>
      <c r="C15" s="90">
        <v>1996</v>
      </c>
      <c r="D15" s="100" t="str">
        <v>Riya1996@gmail.com</v>
      </c>
    </row>
    <row r="16" spans="1:12" ht="15">
      <c r="B16" s="90" t="str">
        <v>Kiran</v>
      </c>
      <c r="C16" s="90">
        <v>1996</v>
      </c>
      <c r="D16" s="100" t="str">
        <v>Kiran1996@gmail.com</v>
      </c>
    </row>
    <row r="17" spans="1:4" ht="15">
      <c r="B17" s="90" t="str">
        <v>Kaushal</v>
      </c>
      <c r="C17" s="90">
        <v>1997</v>
      </c>
      <c r="D17" s="100" t="str">
        <v>Kaushal1997@gmail.com</v>
      </c>
    </row>
    <row r="18" spans="1:4" ht="15">
      <c r="B18" s="90" t="str">
        <v>Kaku</v>
      </c>
      <c r="C18" s="90">
        <v>1999</v>
      </c>
      <c r="D18" s="100" t="str">
        <v>Kaku1999@gmail.com</v>
      </c>
    </row>
    <row r="19" spans="1:4" ht="15">
      <c r="B19" s="90" t="str">
        <v>Jani</v>
      </c>
      <c r="C19" s="90">
        <v>2000</v>
      </c>
      <c r="D19" s="100" t="str">
        <v>Jani2000@gmail.com</v>
      </c>
    </row>
    <row r="20" spans="1:4" ht="15">
      <c r="B20" s="90" t="str">
        <v>Kimi</v>
      </c>
      <c r="C20" s="90">
        <v>2001</v>
      </c>
      <c r="D20" s="100" t="str">
        <v>Kimi2001@gmail.com</v>
      </c>
    </row>
    <row r="23" spans="1:4" ht="18">
      <c r="A23" s="91" t="s">
        <v>1228</v>
      </c>
    </row>
    <row r="25" spans="1:4" ht="15">
      <c r="A25" s="87" t="s">
        <v>1182</v>
      </c>
    </row>
    <row r="27" spans="1:4" ht="15">
      <c r="A27" s="87" t="s">
        <v>1183</v>
      </c>
    </row>
    <row r="31" spans="1:4" ht="18">
      <c r="A31" s="91" t="s">
        <v>1229</v>
      </c>
    </row>
    <row r="33" spans="1:2">
      <c r="A33" s="92" t="s">
        <v>1184</v>
      </c>
    </row>
    <row r="34" spans="1:2">
      <c r="A34" s="101"/>
    </row>
    <row r="35" spans="1:2">
      <c r="A35" s="94" t="s">
        <v>396</v>
      </c>
      <c r="B35" s="94" t="s">
        <v>397</v>
      </c>
    </row>
    <row r="36" spans="1:2" ht="28.8">
      <c r="A36" s="102" t="s">
        <v>1185</v>
      </c>
      <c r="B36" s="96" t="s">
        <v>1186</v>
      </c>
    </row>
    <row r="37" spans="1:2" ht="43.2">
      <c r="A37" s="102" t="s">
        <v>1187</v>
      </c>
      <c r="B37" s="96" t="s">
        <v>1188</v>
      </c>
    </row>
    <row r="38" spans="1:2" ht="43.2">
      <c r="A38" s="102" t="s">
        <v>1189</v>
      </c>
      <c r="B38" s="96" t="s">
        <v>1190</v>
      </c>
    </row>
    <row r="39" spans="1:2" ht="43.2">
      <c r="A39" s="102" t="s">
        <v>1191</v>
      </c>
      <c r="B39" s="96" t="s">
        <v>1192</v>
      </c>
    </row>
    <row r="42" spans="1:2" ht="18">
      <c r="A42" s="91" t="s">
        <v>1230</v>
      </c>
    </row>
    <row r="44" spans="1:2">
      <c r="A44" s="94" t="s">
        <v>405</v>
      </c>
      <c r="B44" s="94" t="s">
        <v>397</v>
      </c>
    </row>
    <row r="45" spans="1:2" ht="43.2">
      <c r="A45" s="96" t="s">
        <v>1193</v>
      </c>
      <c r="B45" s="96" t="s">
        <v>1194</v>
      </c>
    </row>
    <row r="46" spans="1:2" ht="28.8">
      <c r="A46" s="96" t="s">
        <v>1195</v>
      </c>
      <c r="B46" s="96" t="s">
        <v>1196</v>
      </c>
    </row>
    <row r="47" spans="1:2" ht="43.2">
      <c r="A47" s="96" t="s">
        <v>1197</v>
      </c>
      <c r="B47" s="96" t="s">
        <v>1198</v>
      </c>
    </row>
    <row r="48" spans="1:2" ht="28.8">
      <c r="A48" s="96" t="s">
        <v>1199</v>
      </c>
      <c r="B48" s="96" t="s">
        <v>1200</v>
      </c>
    </row>
    <row r="49" spans="1:2" ht="28.8">
      <c r="A49" s="96" t="s">
        <v>1201</v>
      </c>
      <c r="B49" s="96" t="s">
        <v>1202</v>
      </c>
    </row>
    <row r="50" spans="1:2" ht="28.8">
      <c r="A50" s="96" t="s">
        <v>1203</v>
      </c>
      <c r="B50" s="96" t="s">
        <v>1204</v>
      </c>
    </row>
    <row r="53" spans="1:2" ht="18">
      <c r="A53" s="91" t="s">
        <v>1231</v>
      </c>
    </row>
    <row r="55" spans="1:2" ht="15.6">
      <c r="A55" s="97" t="s">
        <v>1205</v>
      </c>
    </row>
    <row r="57" spans="1:2">
      <c r="A57" s="92" t="e" cm="1" vm="5">
        <f t="array" aca="1" ref="A57" ca="1">_xlfn._xlws.SORT(A2:A6)</f>
        <v>#VALUE!</v>
      </c>
    </row>
    <row r="59" spans="1:2" ht="15">
      <c r="A59" s="87" t="s">
        <v>1206</v>
      </c>
    </row>
    <row r="60" spans="1:2" ht="15">
      <c r="A60" s="87" t="s">
        <v>1207</v>
      </c>
    </row>
    <row r="64" spans="1:2" ht="15.6">
      <c r="A64" s="97" t="s">
        <v>1208</v>
      </c>
    </row>
    <row r="66" spans="1:2">
      <c r="A66" s="92" t="e" cm="1" vm="5">
        <f t="array" aca="1" ref="A66" ca="1">_xlfn._xlws.SORT(A2:A6, 1, -1)</f>
        <v>#VALUE!</v>
      </c>
    </row>
    <row r="68" spans="1:2" ht="15">
      <c r="A68" s="87" t="s">
        <v>1209</v>
      </c>
    </row>
    <row r="72" spans="1:2" ht="15.6">
      <c r="A72" s="97" t="s">
        <v>1210</v>
      </c>
    </row>
    <row r="74" spans="1:2">
      <c r="A74" s="92" t="e" cm="1" vm="6">
        <f t="array" aca="1" ref="A74" ca="1">_xlfn._xlws.SORT(A2:B6, 2, 1)</f>
        <v>#VALUE!</v>
      </c>
    </row>
    <row r="76" spans="1:2" ht="15">
      <c r="A76" s="87" t="s">
        <v>1211</v>
      </c>
    </row>
    <row r="78" spans="1:2">
      <c r="A78" s="94" t="s">
        <v>4</v>
      </c>
      <c r="B78" s="94" t="s">
        <v>261</v>
      </c>
    </row>
    <row r="79" spans="1:2">
      <c r="A79" s="96" t="s">
        <v>915</v>
      </c>
      <c r="B79" s="96">
        <v>25</v>
      </c>
    </row>
    <row r="80" spans="1:2">
      <c r="A80" s="96" t="s">
        <v>1212</v>
      </c>
      <c r="B80" s="96">
        <v>22</v>
      </c>
    </row>
    <row r="81" spans="1:5">
      <c r="A81" s="96" t="s">
        <v>1213</v>
      </c>
      <c r="B81" s="96">
        <v>28</v>
      </c>
    </row>
    <row r="83" spans="1:5" ht="15">
      <c r="A83" s="87" t="s">
        <v>1214</v>
      </c>
    </row>
    <row r="87" spans="1:5" ht="15.6">
      <c r="A87" s="97" t="s">
        <v>1215</v>
      </c>
    </row>
    <row r="89" spans="1:5">
      <c r="A89" s="92" t="str" cm="1">
        <f t="array" ref="A89:E89">_xlfn._xlws.SORT(A1:E1,,1,TRUE)</f>
        <v>SORT FUNCTION IN EXCEL</v>
      </c>
      <c r="B89">
        <v>0</v>
      </c>
      <c r="C89">
        <v>0</v>
      </c>
      <c r="D89">
        <v>0</v>
      </c>
      <c r="E89">
        <v>0</v>
      </c>
    </row>
    <row r="91" spans="1:5" ht="15">
      <c r="A91" s="87" t="s">
        <v>1216</v>
      </c>
    </row>
    <row r="95" spans="1:5" ht="15.6">
      <c r="A95" s="97" t="s">
        <v>1217</v>
      </c>
    </row>
    <row r="97" spans="1:1">
      <c r="A97" s="92" t="e" cm="1" vm="7">
        <f t="array" aca="1" ref="A97" ca="1">_xlfn._xlws.SORT(_xlfn._xlws.FILTER(A2:B10, B2:B10 &gt; 80), 2, -1)</f>
        <v>#VALUE!</v>
      </c>
    </row>
    <row r="99" spans="1:1" ht="15">
      <c r="A99" s="87" t="s">
        <v>1218</v>
      </c>
    </row>
    <row r="100" spans="1:1" ht="15">
      <c r="A100" s="87" t="s">
        <v>1219</v>
      </c>
    </row>
    <row r="104" spans="1:1" ht="15.6">
      <c r="A104" s="97" t="s">
        <v>1220</v>
      </c>
    </row>
    <row r="106" spans="1:1">
      <c r="A106" s="92" t="e" cm="1" vm="8">
        <f t="array" aca="1" ref="A106" ca="1">_xlfn._xlws.SORT(A2:A10)</f>
        <v>#VALUE!</v>
      </c>
    </row>
    <row r="108" spans="1:1" ht="15">
      <c r="A108" s="87" t="s">
        <v>1221</v>
      </c>
    </row>
    <row r="112" spans="1:1" ht="15.6">
      <c r="A112" s="97" t="s">
        <v>1222</v>
      </c>
    </row>
    <row r="114" spans="1:1">
      <c r="A114" s="92" t="e" cm="1" vm="9">
        <f t="array" aca="1" ref="A114" ca="1">_xlfn._xlws.SORT(_xlfn._xlws.SORT(A2:C10, 2, 1), 3, -1)</f>
        <v>#VALUE!</v>
      </c>
    </row>
    <row r="116" spans="1:1" ht="15">
      <c r="A116" s="87" t="s">
        <v>1223</v>
      </c>
    </row>
    <row r="117" spans="1:1" ht="15">
      <c r="A117" s="87" t="s">
        <v>1224</v>
      </c>
    </row>
    <row r="121" spans="1:1" ht="18">
      <c r="A121" s="91" t="s">
        <v>1165</v>
      </c>
    </row>
    <row r="122" spans="1:1">
      <c r="A122" s="15"/>
    </row>
    <row r="123" spans="1:1">
      <c r="A123" s="98" t="s">
        <v>1225</v>
      </c>
    </row>
    <row r="124" spans="1:1">
      <c r="A124" s="15"/>
    </row>
    <row r="125" spans="1:1">
      <c r="A125" s="98" t="s">
        <v>1226</v>
      </c>
    </row>
    <row r="126" spans="1:1">
      <c r="A126" s="15"/>
    </row>
    <row r="127" spans="1:1">
      <c r="A127" s="98" t="s">
        <v>1227</v>
      </c>
    </row>
    <row r="131" spans="1:1" ht="18">
      <c r="A131" s="91"/>
    </row>
    <row r="133" spans="1:1" ht="15">
      <c r="A133" s="87"/>
    </row>
  </sheetData>
  <mergeCells count="1">
    <mergeCell ref="A1:E2"/>
  </mergeCells>
  <hyperlinks>
    <hyperlink ref="D5" r:id="rId1" xr:uid="{EC7EB029-F93C-42E5-8DDE-2615FBF63808}"/>
    <hyperlink ref="D6" r:id="rId2" xr:uid="{EAF755FA-3808-4570-8889-61053102E606}"/>
    <hyperlink ref="D7" r:id="rId3" xr:uid="{5E61FDAA-0FB7-423F-89E6-669B7E0EE763}"/>
    <hyperlink ref="D8" r:id="rId4" xr:uid="{5F9677AD-6189-4229-83CD-346E5158448D}"/>
    <hyperlink ref="D9" r:id="rId5" xr:uid="{337A78D3-8F66-4B36-88B4-1B2B7323BBAB}"/>
    <hyperlink ref="D10" r:id="rId6" xr:uid="{6BE2BCE7-5C4E-4CAF-8D87-68A05F6356C5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16"/>
  <sheetViews>
    <sheetView workbookViewId="0">
      <selection activeCell="A15" sqref="A15"/>
    </sheetView>
  </sheetViews>
  <sheetFormatPr defaultColWidth="9" defaultRowHeight="14.4"/>
  <cols>
    <col min="1" max="1" width="14" customWidth="1"/>
    <col min="2" max="2" width="13.109375" customWidth="1"/>
  </cols>
  <sheetData>
    <row r="1" spans="1:4">
      <c r="A1" s="196" t="s">
        <v>1320</v>
      </c>
      <c r="B1" s="196"/>
      <c r="C1" s="196"/>
      <c r="D1" s="196"/>
    </row>
    <row r="2" spans="1:4">
      <c r="A2" s="196"/>
      <c r="B2" s="196"/>
      <c r="C2" s="196"/>
      <c r="D2" s="196"/>
    </row>
    <row r="4" spans="1:4" ht="18">
      <c r="B4" s="124" t="s">
        <v>169</v>
      </c>
    </row>
    <row r="5" spans="1:4" ht="15">
      <c r="B5" s="106" t="s">
        <v>382</v>
      </c>
    </row>
    <row r="6" spans="1:4" ht="15">
      <c r="B6" s="106" t="s">
        <v>710</v>
      </c>
    </row>
    <row r="7" spans="1:4" ht="15">
      <c r="B7" s="106" t="s">
        <v>1321</v>
      </c>
    </row>
    <row r="8" spans="1:4" ht="15">
      <c r="B8" s="106" t="s">
        <v>1322</v>
      </c>
    </row>
    <row r="9" spans="1:4" ht="15">
      <c r="B9" s="106" t="s">
        <v>1323</v>
      </c>
    </row>
    <row r="10" spans="1:4" ht="15">
      <c r="B10" s="106" t="s">
        <v>1324</v>
      </c>
    </row>
    <row r="11" spans="1:4" ht="15">
      <c r="B11" s="106" t="s">
        <v>714</v>
      </c>
    </row>
    <row r="14" spans="1:4">
      <c r="A14" t="str" cm="1">
        <f t="array" ref="A14:C16">_xlfn.WRAPCOLS(B5:B11,3," ")</f>
        <v>Apple</v>
      </c>
      <c r="B14" t="str">
        <v>Dates</v>
      </c>
      <c r="C14" t="str">
        <v>Grapes</v>
      </c>
    </row>
    <row r="15" spans="1:4">
      <c r="A15" t="str">
        <v>Banana</v>
      </c>
      <c r="B15" t="str">
        <v>Elderberry</v>
      </c>
      <c r="C15" t="str">
        <v xml:space="preserve"> </v>
      </c>
    </row>
    <row r="16" spans="1:4">
      <c r="A16" t="str">
        <v>Cherry</v>
      </c>
      <c r="B16" t="str">
        <v>Fig</v>
      </c>
      <c r="C16" t="str">
        <v xml:space="preserve"> </v>
      </c>
    </row>
  </sheetData>
  <mergeCells count="1">
    <mergeCell ref="A1:D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23"/>
  <sheetViews>
    <sheetView workbookViewId="0">
      <selection activeCell="Q11" sqref="Q11"/>
    </sheetView>
  </sheetViews>
  <sheetFormatPr defaultColWidth="9" defaultRowHeight="14.4"/>
  <sheetData>
    <row r="1" spans="1:9" ht="15">
      <c r="A1" s="197" t="s">
        <v>1128</v>
      </c>
      <c r="B1" s="141"/>
      <c r="C1" s="141"/>
      <c r="D1" s="141"/>
      <c r="E1" s="141"/>
      <c r="F1" s="141"/>
    </row>
    <row r="3" spans="1:9" ht="15">
      <c r="A3" s="89" t="s">
        <v>4</v>
      </c>
      <c r="C3" s="90" t="s">
        <v>4</v>
      </c>
      <c r="D3" s="90" t="s">
        <v>1103</v>
      </c>
      <c r="E3" s="90" t="s">
        <v>6</v>
      </c>
      <c r="G3" s="90" t="s">
        <v>4</v>
      </c>
      <c r="H3" s="90" t="s">
        <v>1103</v>
      </c>
      <c r="I3" s="90" t="s">
        <v>6</v>
      </c>
    </row>
    <row r="4" spans="1:9" ht="15">
      <c r="A4" s="88" t="s">
        <v>1103</v>
      </c>
      <c r="C4" s="9" t="str" cm="1">
        <f t="array" ref="C4:E10">_xlfn.WRAPROWS(A4:A23,3,"0")</f>
        <v>City</v>
      </c>
      <c r="D4" s="9" t="str">
        <v>Sales</v>
      </c>
      <c r="E4" s="9" t="str">
        <v>Sonu</v>
      </c>
      <c r="G4" t="str" cm="1">
        <f t="array" ref="G4:I9">_xlfn.WRAPROWS(A6:A23,3,"0")</f>
        <v>Sonu</v>
      </c>
      <c r="H4" t="str">
        <v>Mumbai</v>
      </c>
      <c r="I4">
        <v>1500</v>
      </c>
    </row>
    <row r="5" spans="1:9" ht="15">
      <c r="A5" s="88" t="s">
        <v>6</v>
      </c>
      <c r="C5" s="9" t="str">
        <v>Mumbai</v>
      </c>
      <c r="D5" s="9">
        <v>1500</v>
      </c>
      <c r="E5" s="9" t="str">
        <v>Rohit</v>
      </c>
      <c r="G5" t="str">
        <v>Rohit</v>
      </c>
      <c r="H5" t="str">
        <v>Kolkata</v>
      </c>
      <c r="I5">
        <v>2000</v>
      </c>
    </row>
    <row r="6" spans="1:9" ht="15">
      <c r="A6" s="88" t="s">
        <v>90</v>
      </c>
      <c r="C6" s="9" t="str">
        <v>Kolkata</v>
      </c>
      <c r="D6" s="9">
        <v>2000</v>
      </c>
      <c r="E6" s="9" t="str">
        <v>Arif</v>
      </c>
      <c r="G6" t="str">
        <v>Arif</v>
      </c>
      <c r="H6" t="str">
        <v>Delhi</v>
      </c>
      <c r="I6">
        <v>2500</v>
      </c>
    </row>
    <row r="7" spans="1:9" ht="15">
      <c r="A7" s="88" t="s">
        <v>18</v>
      </c>
      <c r="C7" s="9" t="str">
        <v>Delhi</v>
      </c>
      <c r="D7" s="9">
        <v>2500</v>
      </c>
      <c r="E7" s="9" t="str">
        <v>Rudra</v>
      </c>
      <c r="G7" t="str">
        <v>Rudra</v>
      </c>
      <c r="H7" t="str">
        <v>Pune</v>
      </c>
      <c r="I7">
        <v>3000</v>
      </c>
    </row>
    <row r="8" spans="1:9">
      <c r="A8" s="9">
        <v>1500</v>
      </c>
      <c r="C8" s="9" t="str">
        <v>Pune</v>
      </c>
      <c r="D8" s="9">
        <v>3000</v>
      </c>
      <c r="E8" s="9" t="str">
        <v>Karan</v>
      </c>
      <c r="G8" t="str">
        <v>Karan</v>
      </c>
      <c r="H8" t="str">
        <v>Chennai</v>
      </c>
      <c r="I8">
        <v>3500</v>
      </c>
    </row>
    <row r="9" spans="1:9" ht="15">
      <c r="A9" s="88" t="s">
        <v>911</v>
      </c>
      <c r="C9" s="9" t="str">
        <v>Chennai</v>
      </c>
      <c r="D9" s="9">
        <v>3500</v>
      </c>
      <c r="E9" s="9" t="str">
        <v>Tannu</v>
      </c>
      <c r="G9" t="str">
        <v>Tannu</v>
      </c>
      <c r="H9" t="str">
        <v>Jaipur</v>
      </c>
      <c r="I9">
        <v>4000</v>
      </c>
    </row>
    <row r="10" spans="1:9" ht="15">
      <c r="A10" s="88" t="s">
        <v>13</v>
      </c>
      <c r="C10" s="9" t="str">
        <v>Jaipur</v>
      </c>
      <c r="D10" s="9">
        <v>4000</v>
      </c>
      <c r="E10" s="9" t="str">
        <v>0</v>
      </c>
    </row>
    <row r="11" spans="1:9">
      <c r="A11" s="9">
        <v>2000</v>
      </c>
    </row>
    <row r="12" spans="1:9" ht="15">
      <c r="A12" s="88" t="s">
        <v>1129</v>
      </c>
    </row>
    <row r="13" spans="1:9" ht="15">
      <c r="A13" s="88" t="s">
        <v>22</v>
      </c>
    </row>
    <row r="14" spans="1:9">
      <c r="A14" s="9">
        <v>2500</v>
      </c>
    </row>
    <row r="15" spans="1:9" ht="15">
      <c r="A15" s="88" t="s">
        <v>1130</v>
      </c>
    </row>
    <row r="16" spans="1:9" ht="15">
      <c r="A16" s="88" t="s">
        <v>20</v>
      </c>
    </row>
    <row r="17" spans="1:1">
      <c r="A17" s="9">
        <v>3000</v>
      </c>
    </row>
    <row r="18" spans="1:1" ht="15">
      <c r="A18" s="88" t="s">
        <v>17</v>
      </c>
    </row>
    <row r="19" spans="1:1" ht="15">
      <c r="A19" s="88" t="s">
        <v>1131</v>
      </c>
    </row>
    <row r="20" spans="1:1">
      <c r="A20" s="9">
        <v>3500</v>
      </c>
    </row>
    <row r="21" spans="1:1" ht="15">
      <c r="A21" s="88" t="s">
        <v>1132</v>
      </c>
    </row>
    <row r="22" spans="1:1" ht="15">
      <c r="A22" s="88" t="s">
        <v>1133</v>
      </c>
    </row>
    <row r="23" spans="1:1">
      <c r="A23" s="9">
        <v>4000</v>
      </c>
    </row>
  </sheetData>
  <mergeCells count="1">
    <mergeCell ref="A1:F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3"/>
  <sheetViews>
    <sheetView workbookViewId="0">
      <selection activeCell="C11" sqref="C11"/>
    </sheetView>
  </sheetViews>
  <sheetFormatPr defaultColWidth="9" defaultRowHeight="14.4"/>
  <sheetData>
    <row r="1" spans="1:5">
      <c r="A1" s="198" t="s">
        <v>1325</v>
      </c>
      <c r="B1" s="198"/>
      <c r="C1" s="198"/>
      <c r="D1" s="198"/>
      <c r="E1" s="198"/>
    </row>
    <row r="2" spans="1:5">
      <c r="A2" s="198"/>
      <c r="B2" s="198"/>
      <c r="C2" s="198"/>
      <c r="D2" s="198"/>
      <c r="E2" s="198"/>
    </row>
    <row r="3" spans="1:5">
      <c r="A3" s="125" t="s">
        <v>4</v>
      </c>
      <c r="B3" s="125" t="s">
        <v>83</v>
      </c>
      <c r="C3" s="125" t="s">
        <v>1326</v>
      </c>
    </row>
    <row r="4" spans="1:5">
      <c r="A4" s="126" t="s">
        <v>279</v>
      </c>
      <c r="B4" s="127">
        <v>90</v>
      </c>
      <c r="C4" s="126" t="s">
        <v>1327</v>
      </c>
    </row>
    <row r="5" spans="1:5">
      <c r="A5" s="126" t="s">
        <v>1328</v>
      </c>
      <c r="B5" s="127">
        <v>89</v>
      </c>
      <c r="C5" s="126" t="s">
        <v>381</v>
      </c>
    </row>
    <row r="6" spans="1:5">
      <c r="A6" s="126" t="s">
        <v>209</v>
      </c>
      <c r="B6" s="127">
        <v>85</v>
      </c>
      <c r="C6" s="126" t="s">
        <v>381</v>
      </c>
    </row>
    <row r="7" spans="1:5">
      <c r="A7" s="126" t="s">
        <v>14</v>
      </c>
      <c r="B7" s="127">
        <v>76</v>
      </c>
      <c r="C7" s="126" t="s">
        <v>695</v>
      </c>
    </row>
    <row r="8" spans="1:5">
      <c r="A8" s="126" t="s">
        <v>1119</v>
      </c>
      <c r="B8" s="127">
        <v>72</v>
      </c>
      <c r="C8" s="126" t="s">
        <v>696</v>
      </c>
    </row>
    <row r="11" spans="1:5">
      <c r="A11" t="str" cm="1">
        <f t="array" ref="A11:B13">_xlfn.TAKE(A4:C8,3,2)</f>
        <v>Priya</v>
      </c>
      <c r="B11">
        <v>90</v>
      </c>
    </row>
    <row r="12" spans="1:5">
      <c r="A12" t="str">
        <v>Seema</v>
      </c>
      <c r="B12">
        <v>89</v>
      </c>
    </row>
    <row r="13" spans="1:5">
      <c r="A13" t="str">
        <v>Rahul</v>
      </c>
      <c r="B13">
        <v>85</v>
      </c>
    </row>
  </sheetData>
  <mergeCells count="1">
    <mergeCell ref="A1:E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0:K67"/>
  <sheetViews>
    <sheetView topLeftCell="A10" workbookViewId="0">
      <selection activeCell="C27" sqref="C27"/>
    </sheetView>
  </sheetViews>
  <sheetFormatPr defaultColWidth="9" defaultRowHeight="14.4"/>
  <sheetData>
    <row r="10" spans="1:5" ht="15">
      <c r="A10" s="128" t="s">
        <v>1269</v>
      </c>
      <c r="B10" s="128" t="s">
        <v>1023</v>
      </c>
      <c r="C10" s="128" t="s">
        <v>169</v>
      </c>
      <c r="D10" s="128" t="s">
        <v>1270</v>
      </c>
      <c r="E10" s="128" t="s">
        <v>1271</v>
      </c>
    </row>
    <row r="11" spans="1:5" ht="15">
      <c r="A11" s="106" t="s">
        <v>381</v>
      </c>
      <c r="B11" s="106" t="s">
        <v>1276</v>
      </c>
      <c r="C11" s="106" t="s">
        <v>1278</v>
      </c>
      <c r="D11" s="9">
        <v>45</v>
      </c>
      <c r="E11" s="9">
        <v>450</v>
      </c>
    </row>
    <row r="12" spans="1:5" ht="15">
      <c r="A12" s="106" t="s">
        <v>695</v>
      </c>
      <c r="B12" s="106" t="s">
        <v>1276</v>
      </c>
      <c r="C12" s="106" t="s">
        <v>1278</v>
      </c>
      <c r="D12" s="9">
        <v>20</v>
      </c>
      <c r="E12" s="9">
        <v>200</v>
      </c>
    </row>
    <row r="13" spans="1:5" ht="15">
      <c r="A13" s="106" t="s">
        <v>719</v>
      </c>
      <c r="B13" s="106" t="s">
        <v>1276</v>
      </c>
      <c r="C13" s="106" t="s">
        <v>1278</v>
      </c>
      <c r="D13" s="9">
        <v>14</v>
      </c>
      <c r="E13" s="9">
        <v>140</v>
      </c>
    </row>
    <row r="14" spans="1:5" ht="15">
      <c r="A14" s="106" t="s">
        <v>934</v>
      </c>
      <c r="B14" s="106" t="s">
        <v>1276</v>
      </c>
      <c r="C14" s="106" t="s">
        <v>1278</v>
      </c>
      <c r="D14" s="9">
        <v>32</v>
      </c>
      <c r="E14" s="9">
        <v>320</v>
      </c>
    </row>
    <row r="15" spans="1:5" ht="15">
      <c r="A15" s="106" t="s">
        <v>1272</v>
      </c>
      <c r="B15" s="106" t="s">
        <v>1277</v>
      </c>
      <c r="C15" s="106" t="s">
        <v>1278</v>
      </c>
      <c r="D15" s="9">
        <v>14</v>
      </c>
      <c r="E15" s="9">
        <v>140</v>
      </c>
    </row>
    <row r="16" spans="1:5" ht="15">
      <c r="A16" s="106" t="s">
        <v>1273</v>
      </c>
      <c r="B16" s="106" t="s">
        <v>1277</v>
      </c>
      <c r="C16" s="106" t="s">
        <v>1278</v>
      </c>
      <c r="D16" s="9">
        <v>32</v>
      </c>
      <c r="E16" s="9">
        <v>320</v>
      </c>
    </row>
    <row r="17" spans="1:11" ht="15">
      <c r="A17" s="106" t="s">
        <v>1274</v>
      </c>
      <c r="B17" s="106" t="s">
        <v>1277</v>
      </c>
      <c r="C17" s="106" t="s">
        <v>1278</v>
      </c>
      <c r="D17" s="9">
        <v>60</v>
      </c>
      <c r="E17" s="9">
        <v>600</v>
      </c>
    </row>
    <row r="18" spans="1:11" ht="15">
      <c r="A18" s="106" t="s">
        <v>1275</v>
      </c>
      <c r="B18" s="106" t="s">
        <v>1277</v>
      </c>
      <c r="C18" s="106" t="s">
        <v>1278</v>
      </c>
      <c r="D18" s="9">
        <v>15</v>
      </c>
      <c r="E18" s="9">
        <v>250</v>
      </c>
    </row>
    <row r="19" spans="1:11" ht="15">
      <c r="A19" s="106" t="s">
        <v>792</v>
      </c>
      <c r="B19" s="106" t="s">
        <v>1277</v>
      </c>
      <c r="C19" s="106" t="s">
        <v>1278</v>
      </c>
      <c r="D19" s="9">
        <v>25</v>
      </c>
      <c r="E19" s="9">
        <v>300</v>
      </c>
    </row>
    <row r="23" spans="1:11">
      <c r="A23" t="str" cm="1">
        <f t="array" ref="A23:A67">_xlfn.TOCOL(A11:E19,1,FALSE)</f>
        <v>A</v>
      </c>
      <c r="C23" t="str" cm="1">
        <f t="array" ref="C23:K23">_xlfn.TOROW(B11:B19)</f>
        <v>JAN</v>
      </c>
      <c r="D23" t="str">
        <v>JAN</v>
      </c>
      <c r="E23" t="str">
        <v>JAN</v>
      </c>
      <c r="F23" t="str">
        <v>JAN</v>
      </c>
      <c r="G23" t="str">
        <v>FEB</v>
      </c>
      <c r="H23" t="str">
        <v>FEB</v>
      </c>
      <c r="I23" t="str">
        <v>FEB</v>
      </c>
      <c r="J23" t="str">
        <v>FEB</v>
      </c>
      <c r="K23" t="str">
        <v>FEB</v>
      </c>
    </row>
    <row r="24" spans="1:11">
      <c r="A24" t="str">
        <v>JAN</v>
      </c>
    </row>
    <row r="25" spans="1:11">
      <c r="A25" t="str">
        <v>MOBILE</v>
      </c>
    </row>
    <row r="26" spans="1:11">
      <c r="A26">
        <v>45</v>
      </c>
    </row>
    <row r="27" spans="1:11">
      <c r="A27">
        <v>450</v>
      </c>
    </row>
    <row r="28" spans="1:11">
      <c r="A28" t="str">
        <v>B</v>
      </c>
    </row>
    <row r="29" spans="1:11">
      <c r="A29" t="str">
        <v>JAN</v>
      </c>
    </row>
    <row r="30" spans="1:11">
      <c r="A30" t="str">
        <v>MOBILE</v>
      </c>
    </row>
    <row r="31" spans="1:11">
      <c r="A31">
        <v>20</v>
      </c>
    </row>
    <row r="32" spans="1:11">
      <c r="A32">
        <v>200</v>
      </c>
    </row>
    <row r="33" spans="1:1">
      <c r="A33" t="str">
        <v>D</v>
      </c>
    </row>
    <row r="34" spans="1:1">
      <c r="A34" t="str">
        <v>JAN</v>
      </c>
    </row>
    <row r="35" spans="1:1">
      <c r="A35" t="str">
        <v>MOBILE</v>
      </c>
    </row>
    <row r="36" spans="1:1">
      <c r="A36">
        <v>14</v>
      </c>
    </row>
    <row r="37" spans="1:1">
      <c r="A37">
        <v>140</v>
      </c>
    </row>
    <row r="38" spans="1:1">
      <c r="A38" t="str">
        <v>E</v>
      </c>
    </row>
    <row r="39" spans="1:1">
      <c r="A39" t="str">
        <v>JAN</v>
      </c>
    </row>
    <row r="40" spans="1:1">
      <c r="A40" t="str">
        <v>MOBILE</v>
      </c>
    </row>
    <row r="41" spans="1:1">
      <c r="A41">
        <v>32</v>
      </c>
    </row>
    <row r="42" spans="1:1">
      <c r="A42">
        <v>320</v>
      </c>
    </row>
    <row r="43" spans="1:1">
      <c r="A43" t="str">
        <v>F</v>
      </c>
    </row>
    <row r="44" spans="1:1">
      <c r="A44" t="str">
        <v>FEB</v>
      </c>
    </row>
    <row r="45" spans="1:1">
      <c r="A45" t="str">
        <v>MOBILE</v>
      </c>
    </row>
    <row r="46" spans="1:1">
      <c r="A46">
        <v>14</v>
      </c>
    </row>
    <row r="47" spans="1:1">
      <c r="A47">
        <v>140</v>
      </c>
    </row>
    <row r="48" spans="1:1">
      <c r="A48" t="str">
        <v>G</v>
      </c>
    </row>
    <row r="49" spans="1:1">
      <c r="A49" t="str">
        <v>FEB</v>
      </c>
    </row>
    <row r="50" spans="1:1">
      <c r="A50" t="str">
        <v>MOBILE</v>
      </c>
    </row>
    <row r="51" spans="1:1">
      <c r="A51">
        <v>32</v>
      </c>
    </row>
    <row r="52" spans="1:1">
      <c r="A52">
        <v>320</v>
      </c>
    </row>
    <row r="53" spans="1:1">
      <c r="A53" t="str">
        <v>H</v>
      </c>
    </row>
    <row r="54" spans="1:1">
      <c r="A54" t="str">
        <v>FEB</v>
      </c>
    </row>
    <row r="55" spans="1:1">
      <c r="A55" t="str">
        <v>MOBILE</v>
      </c>
    </row>
    <row r="56" spans="1:1">
      <c r="A56">
        <v>60</v>
      </c>
    </row>
    <row r="57" spans="1:1">
      <c r="A57">
        <v>600</v>
      </c>
    </row>
    <row r="58" spans="1:1">
      <c r="A58" t="str">
        <v>I</v>
      </c>
    </row>
    <row r="59" spans="1:1">
      <c r="A59" t="str">
        <v>FEB</v>
      </c>
    </row>
    <row r="60" spans="1:1">
      <c r="A60" t="str">
        <v>MOBILE</v>
      </c>
    </row>
    <row r="61" spans="1:1">
      <c r="A61">
        <v>15</v>
      </c>
    </row>
    <row r="62" spans="1:1">
      <c r="A62">
        <v>250</v>
      </c>
    </row>
    <row r="63" spans="1:1">
      <c r="A63" t="str">
        <v>J</v>
      </c>
    </row>
    <row r="64" spans="1:1">
      <c r="A64" t="str">
        <v>FEB</v>
      </c>
    </row>
    <row r="65" spans="1:1">
      <c r="A65" t="str">
        <v>MOBILE</v>
      </c>
    </row>
    <row r="66" spans="1:1">
      <c r="A66">
        <v>25</v>
      </c>
    </row>
    <row r="67" spans="1:1">
      <c r="A67">
        <v>300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81D1-C9B8-4FB0-8E4E-D6E1BADA318F}">
  <dimension ref="A2:O8"/>
  <sheetViews>
    <sheetView zoomScaleNormal="100" workbookViewId="0">
      <selection activeCell="H11" sqref="H11"/>
    </sheetView>
  </sheetViews>
  <sheetFormatPr defaultRowHeight="14.4"/>
  <cols>
    <col min="1" max="1" width="28" customWidth="1"/>
  </cols>
  <sheetData>
    <row r="2" spans="1:15" ht="15">
      <c r="A2" s="199" t="s">
        <v>1329</v>
      </c>
      <c r="B2" s="199"/>
      <c r="C2" s="130" t="s">
        <v>320</v>
      </c>
    </row>
    <row r="3" spans="1:15" ht="15">
      <c r="A3" s="9" t="s">
        <v>1330</v>
      </c>
      <c r="B3" s="9"/>
      <c r="C3" s="9" cm="1">
        <f t="array" ref="C3">SUM(--_xlfn.TEXTSPLIT(A3,","))</f>
        <v>49.5</v>
      </c>
      <c r="G3" s="129" t="s">
        <v>1335</v>
      </c>
      <c r="H3" s="129" t="s">
        <v>4</v>
      </c>
      <c r="I3" s="129" t="s">
        <v>1340</v>
      </c>
      <c r="J3" s="129" t="s">
        <v>32</v>
      </c>
      <c r="L3" s="129" t="s">
        <v>1335</v>
      </c>
      <c r="M3" s="129" t="s">
        <v>4</v>
      </c>
      <c r="N3" s="129" t="s">
        <v>1340</v>
      </c>
      <c r="O3" s="129" t="s">
        <v>32</v>
      </c>
    </row>
    <row r="4" spans="1:15">
      <c r="A4" s="9" t="s">
        <v>1331</v>
      </c>
      <c r="B4" s="9"/>
      <c r="C4" s="9"/>
      <c r="G4" s="42">
        <v>1</v>
      </c>
      <c r="H4" s="42" t="s">
        <v>1336</v>
      </c>
      <c r="I4" s="42">
        <v>12</v>
      </c>
      <c r="J4" s="42" t="s">
        <v>1341</v>
      </c>
      <c r="L4" s="42">
        <v>1</v>
      </c>
      <c r="M4" s="42" t="s">
        <v>1336</v>
      </c>
      <c r="N4" s="42">
        <f>I4</f>
        <v>12</v>
      </c>
      <c r="O4" s="42" t="s">
        <v>1341</v>
      </c>
    </row>
    <row r="5" spans="1:15">
      <c r="A5" s="9" t="s">
        <v>1332</v>
      </c>
      <c r="B5" s="9"/>
      <c r="C5" s="9"/>
      <c r="G5" s="42">
        <v>2</v>
      </c>
      <c r="H5" s="42" t="s">
        <v>209</v>
      </c>
      <c r="I5" s="42">
        <v>45</v>
      </c>
      <c r="J5" s="42" t="s">
        <v>1342</v>
      </c>
      <c r="L5" s="42">
        <v>2</v>
      </c>
      <c r="M5" s="42" t="str">
        <f t="shared" ref="M5:N5" si="0">H5</f>
        <v>Rahul</v>
      </c>
      <c r="N5" s="42">
        <f t="shared" si="0"/>
        <v>45</v>
      </c>
      <c r="O5" s="42" t="str">
        <f t="shared" ref="O5:O7" si="1">J5</f>
        <v>d</v>
      </c>
    </row>
    <row r="6" spans="1:15" ht="15">
      <c r="A6" s="9" t="s">
        <v>1333</v>
      </c>
      <c r="B6" s="9"/>
      <c r="C6" s="9"/>
      <c r="G6" s="42">
        <v>3</v>
      </c>
      <c r="H6" s="131" t="s">
        <v>1345</v>
      </c>
      <c r="I6" s="42">
        <v>78</v>
      </c>
      <c r="J6" s="42" t="s">
        <v>1343</v>
      </c>
      <c r="L6" s="42">
        <v>3</v>
      </c>
      <c r="M6" s="42" t="s">
        <v>1337</v>
      </c>
      <c r="N6" s="42">
        <v>78</v>
      </c>
      <c r="O6" s="42" t="str">
        <f t="shared" si="1"/>
        <v>f</v>
      </c>
    </row>
    <row r="7" spans="1:15">
      <c r="A7" s="9" t="s">
        <v>1334</v>
      </c>
      <c r="B7" s="9"/>
      <c r="C7" s="9"/>
      <c r="G7" s="42">
        <v>4</v>
      </c>
      <c r="H7" s="42" t="s">
        <v>1338</v>
      </c>
      <c r="I7" s="42">
        <v>7</v>
      </c>
      <c r="J7" s="42" t="s">
        <v>529</v>
      </c>
      <c r="L7" s="42">
        <v>4</v>
      </c>
      <c r="M7" s="42" t="str">
        <f>H7</f>
        <v>Uddhav</v>
      </c>
      <c r="N7" s="42">
        <f t="shared" ref="N7:N8" si="2">I7</f>
        <v>7</v>
      </c>
      <c r="O7" s="42" t="str">
        <f t="shared" si="1"/>
        <v>t</v>
      </c>
    </row>
    <row r="8" spans="1:15">
      <c r="G8" s="42">
        <v>5</v>
      </c>
      <c r="H8" s="42" t="s">
        <v>1339</v>
      </c>
      <c r="I8" s="42">
        <v>4</v>
      </c>
      <c r="J8" s="42" t="s">
        <v>1344</v>
      </c>
      <c r="L8" s="42">
        <v>5</v>
      </c>
      <c r="M8" s="42" t="s">
        <v>1339</v>
      </c>
      <c r="N8" s="42">
        <f t="shared" si="2"/>
        <v>4</v>
      </c>
      <c r="O8" s="42" t="s">
        <v>1344</v>
      </c>
    </row>
  </sheetData>
  <mergeCells count="1">
    <mergeCell ref="A2:B2"/>
  </mergeCells>
  <conditionalFormatting sqref="M4:O8">
    <cfRule type="containsBlanks" dxfId="0" priority="1">
      <formula>LEN(TRIM(M4))=0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F173-1223-47FD-8A9D-0A174E43FE77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10D7-867F-492B-BB10-C6648550CC1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B60C-1A73-400E-B841-4872A4D58E1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FBED-C425-48C6-9F5B-6F1F0DB50275}">
  <dimension ref="A1:N149"/>
  <sheetViews>
    <sheetView topLeftCell="A11" workbookViewId="0">
      <selection activeCell="D18" sqref="D18"/>
    </sheetView>
  </sheetViews>
  <sheetFormatPr defaultRowHeight="14.4"/>
  <cols>
    <col min="12" max="12" width="22" customWidth="1"/>
    <col min="13" max="13" width="24.109375" customWidth="1"/>
    <col min="14" max="15" width="16.6640625" customWidth="1"/>
  </cols>
  <sheetData>
    <row r="1" spans="1:12" ht="15">
      <c r="A1" s="200" t="s">
        <v>1348</v>
      </c>
      <c r="B1" s="200"/>
      <c r="C1" s="200"/>
      <c r="D1" s="200"/>
      <c r="E1" s="200"/>
      <c r="F1" s="200"/>
      <c r="G1" s="200"/>
      <c r="L1" s="133"/>
    </row>
    <row r="2" spans="1:12">
      <c r="A2" s="200"/>
      <c r="B2" s="200"/>
      <c r="C2" s="200"/>
      <c r="D2" s="200"/>
      <c r="E2" s="200"/>
      <c r="F2" s="200"/>
      <c r="G2" s="200"/>
    </row>
    <row r="4" spans="1:12">
      <c r="A4" s="134" t="s">
        <v>724</v>
      </c>
      <c r="B4" s="134" t="s">
        <v>1349</v>
      </c>
      <c r="C4" s="134" t="s">
        <v>1350</v>
      </c>
    </row>
    <row r="5" spans="1:12" ht="31.2">
      <c r="A5" s="9">
        <v>475.22</v>
      </c>
      <c r="B5" s="9">
        <f>CEILING(A5,1)</f>
        <v>476</v>
      </c>
      <c r="C5" s="9"/>
      <c r="L5" s="135" t="s">
        <v>1417</v>
      </c>
    </row>
    <row r="6" spans="1:12">
      <c r="A6" s="9">
        <v>23.456</v>
      </c>
      <c r="B6" s="9"/>
      <c r="C6" s="9"/>
    </row>
    <row r="7" spans="1:12" ht="15">
      <c r="A7" s="9">
        <v>-123.23</v>
      </c>
      <c r="B7" s="9"/>
      <c r="C7" s="9"/>
      <c r="L7" s="133" t="s">
        <v>1351</v>
      </c>
    </row>
    <row r="8" spans="1:12">
      <c r="A8" s="9">
        <v>45.26</v>
      </c>
      <c r="B8" s="9"/>
      <c r="C8" s="9"/>
    </row>
    <row r="9" spans="1:12" ht="15">
      <c r="A9" s="9">
        <v>0.23400000000000001</v>
      </c>
      <c r="B9" s="9"/>
      <c r="C9" s="9"/>
      <c r="L9" s="133" t="s">
        <v>1418</v>
      </c>
    </row>
    <row r="12" spans="1:12">
      <c r="A12" s="201" t="s">
        <v>1423</v>
      </c>
      <c r="B12" s="201"/>
      <c r="C12" s="201"/>
      <c r="D12" s="201"/>
      <c r="E12" s="201"/>
      <c r="F12" s="201"/>
      <c r="G12" s="201"/>
    </row>
    <row r="13" spans="1:12" ht="23.4">
      <c r="A13" s="201"/>
      <c r="B13" s="201"/>
      <c r="C13" s="201"/>
      <c r="D13" s="201"/>
      <c r="E13" s="201"/>
      <c r="F13" s="201"/>
      <c r="G13" s="201"/>
      <c r="L13" s="136" t="s">
        <v>393</v>
      </c>
    </row>
    <row r="14" spans="1:12">
      <c r="B14" s="9">
        <v>81</v>
      </c>
      <c r="C14" s="9"/>
    </row>
    <row r="15" spans="1:12">
      <c r="B15" s="9">
        <v>50</v>
      </c>
      <c r="C15" s="9"/>
      <c r="L15" s="92" t="e" cm="1">
        <f t="array" ref="L15">CEILING(number, significance)</f>
        <v>#NAME?</v>
      </c>
    </row>
    <row r="16" spans="1:12">
      <c r="B16" s="9">
        <v>92</v>
      </c>
      <c r="C16" s="9"/>
      <c r="L16" s="101"/>
    </row>
    <row r="17" spans="2:13" ht="11.4" customHeight="1">
      <c r="B17" s="9">
        <v>28</v>
      </c>
      <c r="C17" s="9"/>
      <c r="L17" s="94" t="s">
        <v>396</v>
      </c>
      <c r="M17" s="94" t="s">
        <v>397</v>
      </c>
    </row>
    <row r="18" spans="2:13" ht="12.6" customHeight="1">
      <c r="B18" s="9">
        <v>102</v>
      </c>
      <c r="C18" s="9"/>
      <c r="L18" s="102" t="s">
        <v>1352</v>
      </c>
      <c r="M18" s="137" t="s">
        <v>1353</v>
      </c>
    </row>
    <row r="19" spans="2:13" ht="15" customHeight="1">
      <c r="B19" s="9">
        <v>70</v>
      </c>
      <c r="C19" s="9"/>
      <c r="L19" s="102" t="s">
        <v>1354</v>
      </c>
      <c r="M19" s="137" t="s">
        <v>1355</v>
      </c>
    </row>
    <row r="20" spans="2:13">
      <c r="B20" s="9">
        <v>2</v>
      </c>
      <c r="C20" s="9"/>
    </row>
    <row r="22" spans="2:13" ht="23.4">
      <c r="L22" s="136" t="s">
        <v>1419</v>
      </c>
    </row>
    <row r="24" spans="2:13">
      <c r="L24" s="94" t="s">
        <v>405</v>
      </c>
      <c r="M24" s="94" t="s">
        <v>397</v>
      </c>
    </row>
    <row r="25" spans="2:13" ht="28.8">
      <c r="L25" s="137" t="s">
        <v>1356</v>
      </c>
      <c r="M25" s="137" t="s">
        <v>1357</v>
      </c>
    </row>
    <row r="26" spans="2:13" ht="43.2">
      <c r="L26" s="137" t="s">
        <v>1358</v>
      </c>
      <c r="M26" s="137" t="s">
        <v>1359</v>
      </c>
    </row>
    <row r="27" spans="2:13" ht="28.8">
      <c r="L27" s="137" t="s">
        <v>1360</v>
      </c>
      <c r="M27" s="137" t="s">
        <v>1361</v>
      </c>
    </row>
    <row r="28" spans="2:13" ht="28.8">
      <c r="L28" s="137" t="s">
        <v>1362</v>
      </c>
      <c r="M28" s="137" t="s">
        <v>1363</v>
      </c>
    </row>
    <row r="29" spans="2:13" ht="28.8">
      <c r="L29" s="137" t="s">
        <v>1364</v>
      </c>
      <c r="M29" s="137" t="s">
        <v>1365</v>
      </c>
    </row>
    <row r="30" spans="2:13" ht="43.2">
      <c r="L30" s="137" t="s">
        <v>1366</v>
      </c>
      <c r="M30" s="102" t="s">
        <v>1367</v>
      </c>
    </row>
    <row r="33" spans="12:12" ht="23.4">
      <c r="L33" s="136" t="s">
        <v>1231</v>
      </c>
    </row>
    <row r="37" spans="12:12" ht="18">
      <c r="L37" s="91" t="s">
        <v>1420</v>
      </c>
    </row>
    <row r="39" spans="12:12">
      <c r="L39" s="92">
        <f>CEILING(4.2, 1)</f>
        <v>5</v>
      </c>
    </row>
    <row r="41" spans="12:12" ht="15">
      <c r="L41" s="133" t="s">
        <v>1368</v>
      </c>
    </row>
    <row r="42" spans="12:12" ht="15">
      <c r="L42" s="133" t="s">
        <v>1421</v>
      </c>
    </row>
    <row r="46" spans="12:12" ht="18">
      <c r="L46" s="91" t="s">
        <v>1369</v>
      </c>
    </row>
    <row r="48" spans="12:12">
      <c r="L48" s="92">
        <f>CEILING(13, 5)</f>
        <v>15</v>
      </c>
    </row>
    <row r="50" spans="12:12" ht="15">
      <c r="L50" s="133" t="s">
        <v>1370</v>
      </c>
    </row>
    <row r="51" spans="12:12" ht="15">
      <c r="L51" s="133" t="s">
        <v>1371</v>
      </c>
    </row>
    <row r="55" spans="12:12" ht="18">
      <c r="L55" s="91" t="s">
        <v>1372</v>
      </c>
    </row>
    <row r="57" spans="12:12">
      <c r="L57" s="92">
        <f>CEILING(47, 10)</f>
        <v>50</v>
      </c>
    </row>
    <row r="59" spans="12:12" ht="15">
      <c r="L59" s="133" t="s">
        <v>1373</v>
      </c>
    </row>
    <row r="63" spans="12:12" ht="18">
      <c r="L63" s="91" t="s">
        <v>1374</v>
      </c>
    </row>
    <row r="65" spans="12:12">
      <c r="L65" s="92">
        <f>CEILING(4.23, 0.1)</f>
        <v>4.3</v>
      </c>
    </row>
    <row r="67" spans="12:12" ht="15">
      <c r="L67" s="133" t="s">
        <v>1375</v>
      </c>
    </row>
    <row r="71" spans="12:12" ht="18">
      <c r="L71" s="91" t="s">
        <v>1376</v>
      </c>
    </row>
    <row r="73" spans="12:12">
      <c r="L73" s="92">
        <f>CEILING(5.12, 0.25)</f>
        <v>5.25</v>
      </c>
    </row>
    <row r="75" spans="12:12" ht="15">
      <c r="L75" s="133" t="s">
        <v>1377</v>
      </c>
    </row>
    <row r="76" spans="12:12" ht="15">
      <c r="L76" s="133" t="s">
        <v>1378</v>
      </c>
    </row>
    <row r="80" spans="12:12" ht="18">
      <c r="L80" s="91" t="s">
        <v>1379</v>
      </c>
    </row>
    <row r="82" spans="12:12">
      <c r="L82" s="92">
        <f>CEILING(12.341, 0.01)</f>
        <v>12.35</v>
      </c>
    </row>
    <row r="84" spans="12:12" ht="15">
      <c r="L84" s="133" t="s">
        <v>1380</v>
      </c>
    </row>
    <row r="88" spans="12:12" ht="18">
      <c r="L88" s="91" t="s">
        <v>1381</v>
      </c>
    </row>
    <row r="90" spans="12:12">
      <c r="L90" s="92">
        <f>CEILING(-4.2, 1)</f>
        <v>-4</v>
      </c>
    </row>
    <row r="92" spans="12:12" ht="15">
      <c r="L92" s="133" t="s">
        <v>1382</v>
      </c>
    </row>
    <row r="96" spans="12:12" ht="18">
      <c r="L96" s="91" t="s">
        <v>1383</v>
      </c>
    </row>
    <row r="98" spans="12:12" ht="15">
      <c r="L98" s="133" t="s">
        <v>1384</v>
      </c>
    </row>
    <row r="100" spans="12:12">
      <c r="L100" s="92">
        <f>CEILING(25, 6)</f>
        <v>30</v>
      </c>
    </row>
    <row r="102" spans="12:12" ht="15">
      <c r="L102" s="133" t="s">
        <v>1385</v>
      </c>
    </row>
    <row r="103" spans="12:12" ht="15">
      <c r="L103" s="133" t="s">
        <v>1386</v>
      </c>
    </row>
    <row r="107" spans="12:12" ht="18">
      <c r="L107" s="91" t="s">
        <v>1387</v>
      </c>
    </row>
    <row r="109" spans="12:12" ht="15">
      <c r="L109" s="133" t="s">
        <v>1388</v>
      </c>
    </row>
    <row r="111" spans="12:12">
      <c r="L111" s="92">
        <f>CEILING(26850, 500)</f>
        <v>27000</v>
      </c>
    </row>
    <row r="113" spans="12:12" ht="15">
      <c r="L113" s="133" t="s">
        <v>1389</v>
      </c>
    </row>
    <row r="117" spans="12:12" ht="18">
      <c r="L117" s="91" t="s">
        <v>1390</v>
      </c>
    </row>
    <row r="119" spans="12:12" ht="15">
      <c r="L119" s="133" t="s">
        <v>1391</v>
      </c>
    </row>
    <row r="121" spans="12:12">
      <c r="L121" s="92">
        <f>CEILING(4543, 100)</f>
        <v>4600</v>
      </c>
    </row>
    <row r="123" spans="12:12" ht="15">
      <c r="L123" s="133" t="s">
        <v>1392</v>
      </c>
    </row>
    <row r="127" spans="12:12" ht="23.4">
      <c r="L127" s="136" t="s">
        <v>1393</v>
      </c>
    </row>
    <row r="129" spans="12:14">
      <c r="L129" s="94" t="s">
        <v>497</v>
      </c>
      <c r="M129" s="94" t="s">
        <v>1394</v>
      </c>
      <c r="N129" s="94" t="s">
        <v>1395</v>
      </c>
    </row>
    <row r="130" spans="12:14">
      <c r="L130" s="102" t="s">
        <v>1396</v>
      </c>
      <c r="M130" s="137" t="s">
        <v>1397</v>
      </c>
      <c r="N130" s="137" t="s">
        <v>1398</v>
      </c>
    </row>
    <row r="131" spans="12:14">
      <c r="L131" s="102" t="s">
        <v>1399</v>
      </c>
      <c r="M131" s="137" t="s">
        <v>1400</v>
      </c>
      <c r="N131" s="137" t="s">
        <v>1401</v>
      </c>
    </row>
    <row r="132" spans="12:14" ht="28.8">
      <c r="L132" s="102" t="s">
        <v>1402</v>
      </c>
      <c r="M132" s="137" t="s">
        <v>1397</v>
      </c>
      <c r="N132" s="137" t="s">
        <v>1403</v>
      </c>
    </row>
    <row r="133" spans="12:14" ht="28.8">
      <c r="L133" s="102" t="s">
        <v>1404</v>
      </c>
      <c r="M133" s="137" t="s">
        <v>1400</v>
      </c>
      <c r="N133" s="137" t="s">
        <v>1403</v>
      </c>
    </row>
    <row r="134" spans="12:14" ht="43.2">
      <c r="L134" s="102" t="s">
        <v>1405</v>
      </c>
      <c r="M134" s="137" t="s">
        <v>1406</v>
      </c>
      <c r="N134" s="137" t="s">
        <v>1407</v>
      </c>
    </row>
    <row r="135" spans="12:14" ht="28.8">
      <c r="L135" s="102" t="s">
        <v>1408</v>
      </c>
      <c r="M135" s="137" t="s">
        <v>1397</v>
      </c>
      <c r="N135" s="137" t="s">
        <v>1409</v>
      </c>
    </row>
    <row r="138" spans="12:14" ht="23.4">
      <c r="L138" s="136" t="s">
        <v>1422</v>
      </c>
    </row>
    <row r="140" spans="12:14">
      <c r="L140" s="94" t="s">
        <v>242</v>
      </c>
      <c r="M140" s="94" t="s">
        <v>1410</v>
      </c>
      <c r="N140" s="94" t="s">
        <v>505</v>
      </c>
    </row>
    <row r="141" spans="12:14">
      <c r="L141" s="102">
        <f>CEILING(7.3, 1)</f>
        <v>8</v>
      </c>
      <c r="M141" s="137" t="s">
        <v>1411</v>
      </c>
      <c r="N141" s="137">
        <v>8</v>
      </c>
    </row>
    <row r="142" spans="12:14" ht="28.8">
      <c r="L142" s="102">
        <f>CEILING(17, 5)</f>
        <v>20</v>
      </c>
      <c r="M142" s="137" t="s">
        <v>1412</v>
      </c>
      <c r="N142" s="137">
        <v>20</v>
      </c>
    </row>
    <row r="143" spans="12:14" ht="28.8">
      <c r="L143" s="102">
        <f>CEILING(48, 10)</f>
        <v>50</v>
      </c>
      <c r="M143" s="137" t="s">
        <v>1413</v>
      </c>
      <c r="N143" s="137">
        <v>50</v>
      </c>
    </row>
    <row r="144" spans="12:14">
      <c r="L144" s="102">
        <f>CEILING(3.47, 0.1)</f>
        <v>3.5</v>
      </c>
      <c r="M144" s="137" t="s">
        <v>1414</v>
      </c>
      <c r="N144" s="137">
        <v>3.5</v>
      </c>
    </row>
    <row r="145" spans="12:14">
      <c r="L145" s="102">
        <f>CEILING(11.25, 0.25)</f>
        <v>11.25</v>
      </c>
      <c r="M145" s="137" t="s">
        <v>1415</v>
      </c>
      <c r="N145" s="137">
        <v>11.25</v>
      </c>
    </row>
    <row r="146" spans="12:14" ht="28.8">
      <c r="L146" s="102">
        <f>CEILING(26850, 500)</f>
        <v>27000</v>
      </c>
      <c r="M146" s="137" t="s">
        <v>1416</v>
      </c>
      <c r="N146" s="137">
        <v>27000</v>
      </c>
    </row>
    <row r="149" spans="12:14" ht="15">
      <c r="L149" s="133"/>
    </row>
  </sheetData>
  <mergeCells count="2">
    <mergeCell ref="A1:G2"/>
    <mergeCell ref="A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77</vt:i4>
      </vt:variant>
      <vt:variant>
        <vt:lpstr>Named Ranges</vt:lpstr>
      </vt:variant>
      <vt:variant>
        <vt:i4>11</vt:i4>
      </vt:variant>
    </vt:vector>
  </HeadingPairs>
  <TitlesOfParts>
    <vt:vector size="88" baseType="lpstr">
      <vt:lpstr>Sum Combination</vt:lpstr>
      <vt:lpstr>Advance Conditional FormattingS</vt:lpstr>
      <vt:lpstr>Conditional Formatting Blank Ce</vt:lpstr>
      <vt:lpstr>Sequence</vt:lpstr>
      <vt:lpstr>Indirect</vt:lpstr>
      <vt:lpstr>Filter </vt:lpstr>
      <vt:lpstr>True False</vt:lpstr>
      <vt:lpstr>Information Formulas</vt:lpstr>
      <vt:lpstr>Count If Advance </vt:lpstr>
      <vt:lpstr>Substitute</vt:lpstr>
      <vt:lpstr>Countunique</vt:lpstr>
      <vt:lpstr>CountuniqueIfs</vt:lpstr>
      <vt:lpstr>Replace</vt:lpstr>
      <vt:lpstr>Information Functions</vt:lpstr>
      <vt:lpstr>Switch Function</vt:lpstr>
      <vt:lpstr>GetPivot Data Function</vt:lpstr>
      <vt:lpstr>Drop Function</vt:lpstr>
      <vt:lpstr>Expand Function</vt:lpstr>
      <vt:lpstr>Offset Function</vt:lpstr>
      <vt:lpstr>Int Function</vt:lpstr>
      <vt:lpstr>Mod Function</vt:lpstr>
      <vt:lpstr>Unique Function</vt:lpstr>
      <vt:lpstr>Search Function</vt:lpstr>
      <vt:lpstr>Find Function</vt:lpstr>
      <vt:lpstr>Reverse Function</vt:lpstr>
      <vt:lpstr>Reduce Function</vt:lpstr>
      <vt:lpstr>Lambda Function</vt:lpstr>
      <vt:lpstr>Concat</vt:lpstr>
      <vt:lpstr>Choose Function</vt:lpstr>
      <vt:lpstr>Value</vt:lpstr>
      <vt:lpstr>Scan</vt:lpstr>
      <vt:lpstr>REPT</vt:lpstr>
      <vt:lpstr>Unicode</vt:lpstr>
      <vt:lpstr>Unichar</vt:lpstr>
      <vt:lpstr>ENCODEURL</vt:lpstr>
      <vt:lpstr>Advance Or Function</vt:lpstr>
      <vt:lpstr>Advance And</vt:lpstr>
      <vt:lpstr>Rank Function</vt:lpstr>
      <vt:lpstr>IF Error</vt:lpstr>
      <vt:lpstr>Day Function</vt:lpstr>
      <vt:lpstr>Financial Functions (PMT)</vt:lpstr>
      <vt:lpstr>Financial Complete Function</vt:lpstr>
      <vt:lpstr>Financial Function(NPV)</vt:lpstr>
      <vt:lpstr>Financial Function (PV)</vt:lpstr>
      <vt:lpstr>Financial Function (NPER)</vt:lpstr>
      <vt:lpstr>Financial Function (XNPV)</vt:lpstr>
      <vt:lpstr>Financial Function (Rate)</vt:lpstr>
      <vt:lpstr>Financial Function (IRR)</vt:lpstr>
      <vt:lpstr>XIRR()</vt:lpstr>
      <vt:lpstr>Slope</vt:lpstr>
      <vt:lpstr>Lookup &amp; Reference</vt:lpstr>
      <vt:lpstr>Addresss</vt:lpstr>
      <vt:lpstr>Area</vt:lpstr>
      <vt:lpstr>Choosecols</vt:lpstr>
      <vt:lpstr>Chooserows</vt:lpstr>
      <vt:lpstr>Field Value</vt:lpstr>
      <vt:lpstr>Formula Text</vt:lpstr>
      <vt:lpstr>Text Function</vt:lpstr>
      <vt:lpstr>Text Join Function</vt:lpstr>
      <vt:lpstr>Value To Text</vt:lpstr>
      <vt:lpstr>Array To Text</vt:lpstr>
      <vt:lpstr>Hstack</vt:lpstr>
      <vt:lpstr>Vstack Dynamic Function</vt:lpstr>
      <vt:lpstr>Data Vstack Maharashtra</vt:lpstr>
      <vt:lpstr>Data Vstack Delhi</vt:lpstr>
      <vt:lpstr>RTD</vt:lpstr>
      <vt:lpstr>IMAGE</vt:lpstr>
      <vt:lpstr>SORT And SORT BY</vt:lpstr>
      <vt:lpstr>WRAPCOLS</vt:lpstr>
      <vt:lpstr>WRAPROWS</vt:lpstr>
      <vt:lpstr>Take</vt:lpstr>
      <vt:lpstr>TOROW &amp; TOCOLUMN</vt:lpstr>
      <vt:lpstr>Textsplit</vt:lpstr>
      <vt:lpstr>Text After</vt:lpstr>
      <vt:lpstr>Sheet1</vt:lpstr>
      <vt:lpstr>Text Before</vt:lpstr>
      <vt:lpstr>Ceilling &amp; Floor formula</vt:lpstr>
      <vt:lpstr>Akash</vt:lpstr>
      <vt:lpstr>Amit</vt:lpstr>
      <vt:lpstr>Karan</vt:lpstr>
      <vt:lpstr>Kirtish</vt:lpstr>
      <vt:lpstr>Manish</vt:lpstr>
      <vt:lpstr>Name</vt:lpstr>
      <vt:lpstr>Rajesh</vt:lpstr>
      <vt:lpstr>Sales</vt:lpstr>
      <vt:lpstr>Sujay</vt:lpstr>
      <vt:lpstr>Sumit</vt:lpstr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2025-07-22T02:58:00Z</dcterms:created>
  <dcterms:modified xsi:type="dcterms:W3CDTF">2026-01-06T14:36:25Z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AE5CF7E619FA4087AC61CDB6812B7D7E_12</vt:lpwstr>
  </property>
  <property fmtid="{D5CDD505-2E9C-101B-9397-08002B2CF9AE}" pid="3" name="KSOProductBuildVer">
    <vt:lpwstr>1033-12.2.0.21546</vt:lpwstr>
  </property>
</Properties>
</file>