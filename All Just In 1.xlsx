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xr:revisionPtr revIDLastSave="0" documentId="8_{9B4DCB4C-1B4D-BF4A-85D7-6B41298977D9}" xr6:coauthVersionLast="47" xr6:coauthVersionMax="47" xr10:uidLastSave="{00000000-0000-0000-0000-000000000000}"/>
  <bookViews>
    <workbookView xWindow="-15" yWindow="4050" windowWidth="12240" windowHeight="4095" tabRatio="773" firstSheet="2" activeTab="11" xr2:uid="{00000000-000D-0000-FFFF-FFFF00000000}"/>
  </bookViews>
  <sheets>
    <sheet name="SUM" sheetId="1" r:id="rId1"/>
    <sheet name="A+C+M+M" sheetId="2" r:id="rId2"/>
    <sheet name="FINANCIAL" sheetId="11" r:id="rId3"/>
    <sheet name="LOGICAL" sheetId="19" r:id="rId4"/>
    <sheet name="TEXT" sheetId="8" r:id="rId5"/>
    <sheet name="TIME" sheetId="13" r:id="rId6"/>
    <sheet name="LOOKUP" sheetId="10" r:id="rId7"/>
    <sheet name="MATH" sheetId="15" r:id="rId8"/>
    <sheet name="OTHER" sheetId="16" r:id="rId9"/>
    <sheet name="NUMBER CUSTOM 0 &quot;KG&quot;" sheetId="4" r:id="rId10"/>
    <sheet name="DEFINED NAMES" sheetId="20" r:id="rId11"/>
    <sheet name="FORMULA AUDITING" sheetId="21" r:id="rId12"/>
    <sheet name="WATCH" sheetId="22" r:id="rId13"/>
    <sheet name="Sheet3" sheetId="23" r:id="rId14"/>
  </sheets>
  <definedNames>
    <definedName name="_xlnm._FilterDatabase" localSheetId="8" hidden="1">OTHER!$L$15:$N$30</definedName>
    <definedName name="APR">'DEFINED NAMES'!$L$8:$L$23</definedName>
    <definedName name="FEB">'DEFINED NAMES'!$J$8:$J$23</definedName>
    <definedName name="JAN">'DEFINED NAMES'!$I$8:$I$23</definedName>
    <definedName name="JUN">'DEFINED NAMES'!$N$8:$N$23</definedName>
    <definedName name="MAR">'DEFINED NAMES'!$K$8:$K$23</definedName>
    <definedName name="MAY">'DEFINED NAMES'!$M$8:$M$23</definedName>
    <definedName name="NAME">'DEFINED NAMES'!$H$8:$H$23</definedName>
    <definedName name="OK">'DEFINED NAMES'!$C$3:$C$15</definedName>
    <definedName name="PK">'DEFINED NAMES'!$E$3:$E$24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G12" i="21"/>
  <c r="D12" i="21"/>
  <c r="I24" i="20"/>
  <c r="I5" i="20"/>
  <c r="I4" i="20"/>
  <c r="I3" i="20"/>
  <c r="I2" i="20"/>
  <c r="E10" i="4"/>
  <c r="E11" i="4"/>
  <c r="E12" i="4"/>
  <c r="E9" i="4"/>
  <c r="R19" i="16"/>
  <c r="S19" i="16"/>
  <c r="N32" i="16"/>
  <c r="X30" i="16"/>
  <c r="X5" i="16"/>
  <c r="X6" i="16"/>
  <c r="X7" i="16"/>
  <c r="X8" i="16"/>
  <c r="X9" i="16"/>
  <c r="X10" i="16"/>
  <c r="X11" i="16"/>
  <c r="X12" i="16"/>
  <c r="X13" i="16"/>
  <c r="X14" i="16"/>
  <c r="X15" i="16"/>
  <c r="X16" i="16"/>
  <c r="X17" i="16"/>
  <c r="X18" i="16"/>
  <c r="X19" i="16"/>
  <c r="X20" i="16"/>
  <c r="X21" i="16"/>
  <c r="X22" i="16"/>
  <c r="X23" i="16"/>
  <c r="X24" i="16"/>
  <c r="X25" i="16"/>
  <c r="X26" i="16"/>
  <c r="X27" i="16"/>
  <c r="X28" i="16"/>
  <c r="X29" i="16"/>
  <c r="X4" i="16"/>
  <c r="T5" i="16"/>
  <c r="T6" i="16"/>
  <c r="T7" i="16"/>
  <c r="T8" i="16"/>
  <c r="T9" i="16"/>
  <c r="T10" i="16"/>
  <c r="T4" i="16"/>
  <c r="Q5" i="16"/>
  <c r="Q6" i="16"/>
  <c r="Q7" i="16"/>
  <c r="Q8" i="16"/>
  <c r="Q9" i="16"/>
  <c r="Q10" i="16"/>
  <c r="Q4" i="16"/>
  <c r="N5" i="16"/>
  <c r="N6" i="16"/>
  <c r="N7" i="16"/>
  <c r="N8" i="16"/>
  <c r="N9" i="16"/>
  <c r="N10" i="16"/>
  <c r="N4" i="16"/>
  <c r="K5" i="16"/>
  <c r="K6" i="16"/>
  <c r="K7" i="16"/>
  <c r="K8" i="16"/>
  <c r="K9" i="16"/>
  <c r="K10" i="16"/>
  <c r="K4" i="16"/>
  <c r="B30" i="16"/>
  <c r="D17" i="16"/>
  <c r="B17" i="16"/>
  <c r="I5" i="15"/>
  <c r="I6" i="15"/>
  <c r="I7" i="15"/>
  <c r="I8" i="15"/>
  <c r="I9" i="15"/>
  <c r="I10" i="15"/>
  <c r="I11" i="15"/>
  <c r="I12" i="15"/>
  <c r="I13" i="15"/>
  <c r="I14" i="15"/>
  <c r="I15" i="15"/>
  <c r="I4" i="15"/>
  <c r="H5" i="15"/>
  <c r="H6" i="15"/>
  <c r="H7" i="15"/>
  <c r="H8" i="15"/>
  <c r="H9" i="15"/>
  <c r="H10" i="15"/>
  <c r="H11" i="15"/>
  <c r="H12" i="15"/>
  <c r="H13" i="15"/>
  <c r="H14" i="15"/>
  <c r="H15" i="15"/>
  <c r="H4" i="15"/>
  <c r="G5" i="15"/>
  <c r="G6" i="15"/>
  <c r="G7" i="15"/>
  <c r="G8" i="15"/>
  <c r="G9" i="15"/>
  <c r="G10" i="15"/>
  <c r="G11" i="15"/>
  <c r="G12" i="15"/>
  <c r="G13" i="15"/>
  <c r="G14" i="15"/>
  <c r="G15" i="15"/>
  <c r="G4" i="15"/>
  <c r="F5" i="15"/>
  <c r="F6" i="15"/>
  <c r="F7" i="15"/>
  <c r="F8" i="15"/>
  <c r="F9" i="15"/>
  <c r="F10" i="15"/>
  <c r="F11" i="15"/>
  <c r="F12" i="15"/>
  <c r="F13" i="15"/>
  <c r="F14" i="15"/>
  <c r="F15" i="15"/>
  <c r="F4" i="15"/>
  <c r="E5" i="15"/>
  <c r="E6" i="15"/>
  <c r="E7" i="15"/>
  <c r="E8" i="15"/>
  <c r="E9" i="15"/>
  <c r="E10" i="15"/>
  <c r="E11" i="15"/>
  <c r="E12" i="15"/>
  <c r="E13" i="15"/>
  <c r="E14" i="15"/>
  <c r="E15" i="15"/>
  <c r="E4" i="15"/>
  <c r="J17" i="10"/>
  <c r="I3" i="10"/>
  <c r="B8" i="13"/>
  <c r="B7" i="13"/>
  <c r="B6" i="13"/>
  <c r="B5" i="13"/>
  <c r="B4" i="13"/>
  <c r="B3" i="13"/>
  <c r="D10" i="8"/>
  <c r="D9" i="8"/>
  <c r="D8" i="8"/>
  <c r="D7" i="8"/>
  <c r="D6" i="8"/>
  <c r="D5" i="8"/>
  <c r="D4" i="8"/>
  <c r="D3" i="8"/>
  <c r="D2" i="8"/>
  <c r="D1" i="8"/>
  <c r="I31" i="19"/>
  <c r="I32" i="19"/>
  <c r="I33" i="19"/>
  <c r="I34" i="19"/>
  <c r="I35" i="19"/>
  <c r="I36" i="19"/>
  <c r="I30" i="19"/>
  <c r="J5" i="19"/>
  <c r="K5" i="19"/>
  <c r="L5" i="19"/>
  <c r="J6" i="19"/>
  <c r="K6" i="19"/>
  <c r="L6" i="19"/>
  <c r="J7" i="19"/>
  <c r="K7" i="19"/>
  <c r="L7" i="19"/>
  <c r="J8" i="19"/>
  <c r="K8" i="19"/>
  <c r="L8" i="19"/>
  <c r="J9" i="19"/>
  <c r="K9" i="19"/>
  <c r="L9" i="19"/>
  <c r="J10" i="19"/>
  <c r="K10" i="19"/>
  <c r="L10" i="19"/>
  <c r="J11" i="19"/>
  <c r="K11" i="19"/>
  <c r="L11" i="19"/>
  <c r="J12" i="19"/>
  <c r="K12" i="19"/>
  <c r="L12" i="19"/>
  <c r="J13" i="19"/>
  <c r="K13" i="19"/>
  <c r="L13" i="19"/>
  <c r="J14" i="19"/>
  <c r="K14" i="19"/>
  <c r="L14" i="19"/>
  <c r="J15" i="19"/>
  <c r="K15" i="19"/>
  <c r="L15" i="19"/>
  <c r="J16" i="19"/>
  <c r="K16" i="19"/>
  <c r="L16" i="19"/>
  <c r="J17" i="19"/>
  <c r="K17" i="19"/>
  <c r="L17" i="19"/>
  <c r="J18" i="19"/>
  <c r="K18" i="19"/>
  <c r="L18" i="19"/>
  <c r="J19" i="19"/>
  <c r="K19" i="19"/>
  <c r="L19" i="19"/>
  <c r="J20" i="19"/>
  <c r="K20" i="19"/>
  <c r="L20" i="19"/>
  <c r="J21" i="19"/>
  <c r="K21" i="19"/>
  <c r="L21" i="19"/>
  <c r="J22" i="19"/>
  <c r="K22" i="19"/>
  <c r="L22" i="19"/>
  <c r="J23" i="19"/>
  <c r="K23" i="19"/>
  <c r="L23" i="19"/>
  <c r="J4" i="19"/>
  <c r="K4" i="19"/>
  <c r="L4" i="19"/>
  <c r="M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4" i="19"/>
  <c r="F17" i="11"/>
  <c r="F11" i="11"/>
  <c r="F12" i="11"/>
  <c r="H11" i="11"/>
  <c r="F10" i="11"/>
  <c r="K27" i="2"/>
  <c r="J27" i="2"/>
  <c r="M30" i="2"/>
  <c r="H3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O4" i="1"/>
  <c r="N4" i="1"/>
  <c r="M4" i="1"/>
  <c r="L4" i="1"/>
  <c r="E12" i="1"/>
  <c r="J4" i="1"/>
  <c r="J5" i="1"/>
  <c r="J6" i="1"/>
  <c r="J7" i="1"/>
  <c r="J8" i="1"/>
  <c r="J9" i="1"/>
  <c r="J10" i="1"/>
  <c r="J11" i="1"/>
  <c r="J2" i="1"/>
  <c r="F14" i="23"/>
  <c r="D14" i="23"/>
  <c r="H3" i="22"/>
  <c r="H4" i="22"/>
  <c r="H5" i="22"/>
  <c r="H6" i="22"/>
  <c r="H7" i="22"/>
  <c r="H8" i="22"/>
  <c r="H9" i="22"/>
  <c r="H10" i="22"/>
  <c r="H2" i="22"/>
  <c r="C9" i="8"/>
  <c r="G31" i="19"/>
  <c r="G32" i="19"/>
  <c r="G33" i="19"/>
  <c r="G34" i="19"/>
  <c r="G35" i="19"/>
  <c r="G36" i="19"/>
  <c r="G30" i="19"/>
  <c r="R21" i="16"/>
  <c r="R20" i="16"/>
  <c r="R18" i="16"/>
  <c r="R17" i="16"/>
  <c r="R16" i="16"/>
  <c r="E33" i="15"/>
  <c r="E34" i="15"/>
  <c r="E35" i="15"/>
  <c r="E36" i="15"/>
  <c r="E37" i="15"/>
  <c r="E38" i="15"/>
  <c r="E32" i="15"/>
  <c r="H32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H20" i="15"/>
  <c r="H21" i="15"/>
  <c r="H22" i="15"/>
  <c r="H23" i="15"/>
  <c r="H24" i="15"/>
  <c r="H25" i="15"/>
  <c r="H26" i="15"/>
  <c r="H27" i="15"/>
  <c r="H28" i="15"/>
  <c r="H29" i="15"/>
  <c r="H19" i="15"/>
  <c r="G20" i="15"/>
  <c r="G21" i="15"/>
  <c r="G22" i="15"/>
  <c r="G23" i="15"/>
  <c r="G24" i="15"/>
  <c r="G25" i="15"/>
  <c r="G26" i="15"/>
  <c r="G27" i="15"/>
  <c r="G28" i="15"/>
  <c r="G29" i="15"/>
  <c r="G19" i="15"/>
  <c r="E3" i="4"/>
  <c r="E4" i="4"/>
  <c r="E5" i="4"/>
  <c r="E2" i="4"/>
  <c r="F18" i="11"/>
  <c r="F16" i="11"/>
  <c r="F15" i="11"/>
  <c r="F14" i="11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14" i="8"/>
  <c r="L29" i="16"/>
  <c r="L30" i="16"/>
  <c r="L28" i="16"/>
  <c r="L31" i="16"/>
  <c r="L17" i="16"/>
  <c r="L16" i="16"/>
  <c r="L19" i="16"/>
  <c r="L18" i="16"/>
  <c r="L24" i="16"/>
  <c r="L25" i="16"/>
  <c r="L27" i="16"/>
  <c r="L26" i="16"/>
  <c r="L21" i="16"/>
  <c r="L22" i="16"/>
  <c r="L23" i="16"/>
  <c r="L20" i="16"/>
</calcChain>
</file>

<file path=xl/sharedStrings.xml><?xml version="1.0" encoding="utf-8"?>
<sst xmlns="http://schemas.openxmlformats.org/spreadsheetml/2006/main" count="558" uniqueCount="305">
  <si>
    <t>SR. NO.</t>
  </si>
  <si>
    <t>NAME</t>
  </si>
  <si>
    <t>ROLL NO.</t>
  </si>
  <si>
    <t>FATHER'S NAME</t>
  </si>
  <si>
    <t>HINDI</t>
  </si>
  <si>
    <t>ENGLISH</t>
  </si>
  <si>
    <t>MATH</t>
  </si>
  <si>
    <t>SCIENCE</t>
  </si>
  <si>
    <t>SST</t>
  </si>
  <si>
    <t>TOTAL</t>
  </si>
  <si>
    <t>SALMAN KHAN</t>
  </si>
  <si>
    <t>SHAHRUKH KHAN</t>
  </si>
  <si>
    <t>AMIR KHAN</t>
  </si>
  <si>
    <t>AKSHAY KUMAR</t>
  </si>
  <si>
    <t>AJAY DEVGAN</t>
  </si>
  <si>
    <t>RITIK ROSHAN</t>
  </si>
  <si>
    <t>VARUN DHAWAN</t>
  </si>
  <si>
    <t>VIDHYUT</t>
  </si>
  <si>
    <t>GOVINDA</t>
  </si>
  <si>
    <t>AMITABH BACHHAN</t>
  </si>
  <si>
    <t>SALIM KHAN</t>
  </si>
  <si>
    <t>USMAN GAJI</t>
  </si>
  <si>
    <t>MOHAMMAD</t>
  </si>
  <si>
    <t>RAM LAL</t>
  </si>
  <si>
    <t>KISHAN LAL</t>
  </si>
  <si>
    <t>RAKESH ROSHAN</t>
  </si>
  <si>
    <t>PRAKASH</t>
  </si>
  <si>
    <t>RAJESH</t>
  </si>
  <si>
    <t>HARISH</t>
  </si>
  <si>
    <t>HARIVANSHRAY</t>
  </si>
  <si>
    <t>ADD</t>
  </si>
  <si>
    <t xml:space="preserve">SUBTRACT </t>
  </si>
  <si>
    <t>MULTYPLY</t>
  </si>
  <si>
    <t>DIVIDE</t>
  </si>
  <si>
    <t>JAN</t>
  </si>
  <si>
    <t>FEB</t>
  </si>
  <si>
    <t>MAR</t>
  </si>
  <si>
    <t>RAM</t>
  </si>
  <si>
    <t>KISHAN</t>
  </si>
  <si>
    <t>MOHAN</t>
  </si>
  <si>
    <t>RADHA</t>
  </si>
  <si>
    <t>SANGITA</t>
  </si>
  <si>
    <t>KAMAL</t>
  </si>
  <si>
    <t>KISHOR</t>
  </si>
  <si>
    <t>SHRAWAN</t>
  </si>
  <si>
    <t>OMPRAKASH</t>
  </si>
  <si>
    <t>REENA</t>
  </si>
  <si>
    <t>PINKY</t>
  </si>
  <si>
    <t>VIJAY</t>
  </si>
  <si>
    <t>AMIT</t>
  </si>
  <si>
    <t>AVERAGE</t>
  </si>
  <si>
    <t>COUNT</t>
  </si>
  <si>
    <t>MAX</t>
  </si>
  <si>
    <t>MIN</t>
  </si>
  <si>
    <t>RATE</t>
  </si>
  <si>
    <t>INTEREST</t>
  </si>
  <si>
    <t>AMOUNT</t>
  </si>
  <si>
    <t>DAY</t>
  </si>
  <si>
    <t>YEARS</t>
  </si>
  <si>
    <t>QTY</t>
  </si>
  <si>
    <t>ITEM</t>
  </si>
  <si>
    <t>SR.NO.</t>
  </si>
  <si>
    <t>APPLE</t>
  </si>
  <si>
    <t>MANGO</t>
  </si>
  <si>
    <t>BANANA</t>
  </si>
  <si>
    <t>ORNAGE</t>
  </si>
  <si>
    <t>PER%</t>
  </si>
  <si>
    <t>COMPUTER</t>
  </si>
  <si>
    <t>TIPU SULTAN</t>
  </si>
  <si>
    <t>OM PRAKASH</t>
  </si>
  <si>
    <t>UGAM RAJ</t>
  </si>
  <si>
    <t>GAJENDRA</t>
  </si>
  <si>
    <t>HANUMAN</t>
  </si>
  <si>
    <t>MAHENDRA</t>
  </si>
  <si>
    <t>BHARAT</t>
  </si>
  <si>
    <t>SITA</t>
  </si>
  <si>
    <t>OMA RAM</t>
  </si>
  <si>
    <t>RAKESH</t>
  </si>
  <si>
    <t>IMRAN</t>
  </si>
  <si>
    <t>WASIM</t>
  </si>
  <si>
    <t>QURBAN</t>
  </si>
  <si>
    <t>KARINA KAPOOR</t>
  </si>
  <si>
    <t>KISHNA RAM</t>
  </si>
  <si>
    <t xml:space="preserve">KAMLA </t>
  </si>
  <si>
    <t>UGMI DEVI</t>
  </si>
  <si>
    <t>CHANDRA PRAKASH</t>
  </si>
  <si>
    <t>SITA RAM</t>
  </si>
  <si>
    <t>SULTAN</t>
  </si>
  <si>
    <t>MARKS</t>
  </si>
  <si>
    <t>SUBTOTAL FORMULA</t>
  </si>
  <si>
    <t>lHkh 'kCn cMs djuk</t>
  </si>
  <si>
    <t>ram</t>
  </si>
  <si>
    <t>Kishan</t>
  </si>
  <si>
    <t>radha</t>
  </si>
  <si>
    <t>sangita</t>
  </si>
  <si>
    <t>RAMESH</t>
  </si>
  <si>
    <t>JAGDISH</t>
  </si>
  <si>
    <t>ugam raj</t>
  </si>
  <si>
    <t>sultan</t>
  </si>
  <si>
    <t>Prakash</t>
  </si>
  <si>
    <t>Bhalla ram</t>
  </si>
  <si>
    <t>YasIN</t>
  </si>
  <si>
    <t>FirOJ</t>
  </si>
  <si>
    <t>lHkh 'kCn NksVs djuk</t>
  </si>
  <si>
    <t>BHALLA RAM</t>
  </si>
  <si>
    <t>YASIN</t>
  </si>
  <si>
    <t>FIROJ</t>
  </si>
  <si>
    <t>ROUND KA FORMULA</t>
  </si>
  <si>
    <t>M/F</t>
  </si>
  <si>
    <t>AGE</t>
  </si>
  <si>
    <t>GEETA</t>
  </si>
  <si>
    <t>KAMLA</t>
  </si>
  <si>
    <t>SURESH</t>
  </si>
  <si>
    <t>UGAMRAJ</t>
  </si>
  <si>
    <t>KHALID</t>
  </si>
  <si>
    <t>SHYARA</t>
  </si>
  <si>
    <t>SALMA</t>
  </si>
  <si>
    <t>NAJMIN</t>
  </si>
  <si>
    <t>MALE</t>
  </si>
  <si>
    <t>FEMALE</t>
  </si>
  <si>
    <t>CRICKET</t>
  </si>
  <si>
    <t>PAINTING</t>
  </si>
  <si>
    <t>SINGING</t>
  </si>
  <si>
    <t>SWIMMING</t>
  </si>
  <si>
    <t>DANCING</t>
  </si>
  <si>
    <t>FOOTBALL</t>
  </si>
  <si>
    <t>LUDO</t>
  </si>
  <si>
    <t>TRAVEL</t>
  </si>
  <si>
    <t>Loan Amount</t>
  </si>
  <si>
    <t>Interest Rate</t>
  </si>
  <si>
    <t>Time (Year)</t>
  </si>
  <si>
    <t>PMT</t>
  </si>
  <si>
    <t>IPMT</t>
  </si>
  <si>
    <t>PPMT</t>
  </si>
  <si>
    <t>EMI</t>
  </si>
  <si>
    <t>PA</t>
  </si>
  <si>
    <t>*NPR=NUMBER OF PERIOD (YEAR)</t>
  </si>
  <si>
    <t>*PV = PERSENT VALUE</t>
  </si>
  <si>
    <t>KONSE MONTH ME KITNA INTEREST KATEGA 1st Month</t>
  </si>
  <si>
    <t>KONSE MONTH ME KITNA INTEREST KATEGA 3rd Month</t>
  </si>
  <si>
    <t>KONSE MONTH ME KITNA INTEREST KATEGA 2nd Month</t>
  </si>
  <si>
    <t>KONSE MONTH ME KITNA PRINCIPAL KATEGA</t>
  </si>
  <si>
    <t>PMT=IPMT+PPMT</t>
  </si>
  <si>
    <t>H.Y.</t>
  </si>
  <si>
    <t>ANNUAL</t>
  </si>
  <si>
    <t>DIVISION</t>
  </si>
  <si>
    <t>RESULT</t>
  </si>
  <si>
    <t>CLEAN</t>
  </si>
  <si>
    <t>LOWER</t>
  </si>
  <si>
    <t>UPPER</t>
  </si>
  <si>
    <t>PROPER</t>
  </si>
  <si>
    <t>RIGHT</t>
  </si>
  <si>
    <t>LEFT</t>
  </si>
  <si>
    <t>computer</t>
  </si>
  <si>
    <t>MONTH</t>
  </si>
  <si>
    <t>TODAY</t>
  </si>
  <si>
    <t>NOW</t>
  </si>
  <si>
    <t>ABS</t>
  </si>
  <si>
    <t>EVEN</t>
  </si>
  <si>
    <t>ODD</t>
  </si>
  <si>
    <t>RAND</t>
  </si>
  <si>
    <t>RANDBETWEEN</t>
  </si>
  <si>
    <t>ABSOLUTE</t>
  </si>
  <si>
    <t>ISTEXT</t>
  </si>
  <si>
    <t>ISBLANK</t>
  </si>
  <si>
    <t>DEC</t>
  </si>
  <si>
    <t>BIN</t>
  </si>
  <si>
    <t>Computer</t>
  </si>
  <si>
    <t>2021 march</t>
  </si>
  <si>
    <t>education</t>
  </si>
  <si>
    <t>abc 2021</t>
  </si>
  <si>
    <t>a 2020</t>
  </si>
  <si>
    <t>DAY 2</t>
  </si>
  <si>
    <t>DAY 1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</si>
  <si>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</si>
  <si>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</si>
  <si>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</si>
  <si>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</si>
  <si>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</si>
  <si>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</si>
  <si>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</si>
  <si>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</si>
  <si>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</si>
  <si>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</si>
  <si>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</si>
  <si>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</si>
  <si>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</si>
  <si>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</si>
  <si>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</si>
  <si>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</si>
  <si>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</si>
  <si>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</si>
  <si>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</si>
  <si>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</si>
  <si>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</si>
  <si>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</si>
  <si>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</si>
  <si>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</si>
  <si>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</si>
  <si>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</si>
  <si>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</si>
  <si>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</si>
  <si>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SALE</t>
  </si>
  <si>
    <t>max</t>
  </si>
  <si>
    <t>min</t>
  </si>
  <si>
    <t>YEAR</t>
  </si>
  <si>
    <t>cOmPUTEr</t>
  </si>
  <si>
    <t>EQUATED MONTHLY INSTALLMENT</t>
  </si>
  <si>
    <t>leku ekfld fdLr</t>
  </si>
  <si>
    <t>7DAY</t>
  </si>
  <si>
    <t>NAVKAR SR. SEC. SCHOOL, BALOTRA</t>
  </si>
  <si>
    <t>1ST TEST</t>
  </si>
  <si>
    <t>2ND TEST</t>
  </si>
  <si>
    <t>3RD TEST</t>
  </si>
  <si>
    <t>KAJAL</t>
  </si>
  <si>
    <t>GAYTRI</t>
  </si>
  <si>
    <t>RAVINA</t>
  </si>
  <si>
    <t>KRISHNA</t>
  </si>
  <si>
    <t>GAJA RAM</t>
  </si>
  <si>
    <t>NIZAMUDDIN</t>
  </si>
  <si>
    <t>PANKAJ</t>
  </si>
  <si>
    <t>ASHOK KUMAR</t>
  </si>
  <si>
    <t>NARAPAT SINGH</t>
  </si>
  <si>
    <t>LAKHAN PURI</t>
  </si>
  <si>
    <t>MAHENDRA PURI</t>
  </si>
  <si>
    <t>KALU RAM</t>
  </si>
  <si>
    <t>BHAMRA RAM</t>
  </si>
  <si>
    <t>SAMSUDIN</t>
  </si>
  <si>
    <t>DHARMENDRA</t>
  </si>
  <si>
    <t>JOHNY LEVER</t>
  </si>
  <si>
    <t>JETHA LAL</t>
  </si>
  <si>
    <t>BABITA</t>
  </si>
  <si>
    <t>TAPU</t>
  </si>
  <si>
    <t>DAYA</t>
  </si>
  <si>
    <t>BAPUJI</t>
  </si>
  <si>
    <t>KACHORI KUMARI</t>
  </si>
  <si>
    <t>PIZZA RAM</t>
  </si>
  <si>
    <t>RESULT SHEET 2021-22</t>
  </si>
  <si>
    <t>count</t>
  </si>
  <si>
    <t>RS</t>
  </si>
  <si>
    <t>FIRST MONTH</t>
  </si>
  <si>
    <t>SECOND MONTH</t>
  </si>
  <si>
    <t>THIRD MONTH</t>
  </si>
  <si>
    <t>COUNT BLANK</t>
  </si>
  <si>
    <t xml:space="preserve">EXACT </t>
  </si>
  <si>
    <t>ROUND</t>
  </si>
  <si>
    <t>OK</t>
  </si>
  <si>
    <t>PK</t>
  </si>
  <si>
    <t>SUM</t>
  </si>
  <si>
    <t>APR</t>
  </si>
  <si>
    <t>MAY</t>
  </si>
  <si>
    <t>JUN</t>
  </si>
  <si>
    <t>KACHORI DEVI</t>
  </si>
  <si>
    <t>SAMOSA RAM</t>
  </si>
  <si>
    <t>BHINDI DEVI</t>
  </si>
  <si>
    <t>KACHRA SETH</t>
  </si>
  <si>
    <t>TAPORI DEVI</t>
  </si>
  <si>
    <t>JETHIYA</t>
  </si>
  <si>
    <t>KALUA</t>
  </si>
  <si>
    <t>BAKRI DEVI</t>
  </si>
  <si>
    <t>GADHAPRASAD</t>
  </si>
  <si>
    <t>JANUDI</t>
  </si>
  <si>
    <t>FANTI DEVI</t>
  </si>
  <si>
    <t>GEETADI</t>
  </si>
  <si>
    <t>BHALU RAM</t>
  </si>
  <si>
    <t>PAPU PAKODA</t>
  </si>
  <si>
    <t>MANGILAL</t>
  </si>
  <si>
    <t>DEVILAL</t>
  </si>
  <si>
    <t>TABLE 1</t>
  </si>
  <si>
    <t>TABLE 2</t>
  </si>
  <si>
    <t>TABLE -1</t>
  </si>
  <si>
    <t>ENSTALLMENT</t>
  </si>
  <si>
    <t>*PMT = PER MONTH INSTALLMENT</t>
  </si>
  <si>
    <t>*IPMT = INTEREST PER MONTH INSTALLMENT</t>
  </si>
  <si>
    <t>*PPMT = PRINCIPALPER MONTH INSATLLMENT</t>
  </si>
  <si>
    <t>NAME : TIPU SULTAN</t>
  </si>
  <si>
    <t>AND FORMULA</t>
  </si>
  <si>
    <t>MID</t>
  </si>
  <si>
    <t>REPT</t>
  </si>
  <si>
    <t>CONCATENATE</t>
  </si>
  <si>
    <t>CENTER</t>
  </si>
  <si>
    <t>TEXT</t>
  </si>
  <si>
    <t>DATE</t>
  </si>
  <si>
    <t>VLOOKUP FORMULA</t>
  </si>
  <si>
    <t>MATCH FORMULA</t>
  </si>
  <si>
    <t>SALARY</t>
  </si>
  <si>
    <t>MAHARANA PRATAP</t>
  </si>
  <si>
    <t>COUNTA</t>
  </si>
  <si>
    <t>PAPU</t>
  </si>
  <si>
    <t>COURSE</t>
  </si>
  <si>
    <t>BASIC</t>
  </si>
  <si>
    <t>ACCOUNT</t>
  </si>
  <si>
    <t>PHOTOSHOP</t>
  </si>
  <si>
    <t>CORELDRAW</t>
  </si>
  <si>
    <t>RS-CIT</t>
  </si>
  <si>
    <t>FEES</t>
  </si>
  <si>
    <t>DEPOSIT</t>
  </si>
  <si>
    <t>BALANCE</t>
  </si>
  <si>
    <t>NAVKAR</t>
  </si>
  <si>
    <t>MAHA</t>
  </si>
  <si>
    <t>RANA</t>
  </si>
  <si>
    <t>PRATAP</t>
  </si>
  <si>
    <t>500 KG</t>
  </si>
  <si>
    <t>T-1</t>
  </si>
  <si>
    <t>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</si>
</sst>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₹&quot;\ #,##0.00;[Red]&quot;₹&quot;\ \-#,##0.00"/>
    <numFmt numFmtId="164" formatCode="_(* #,##0.00_);_(* \(#,##0.00\);_(* &quot;-&quot;??_);_(@_)"/>
    <numFmt numFmtId="165" formatCode="&quot;Rs.&quot;\ #,##0.00;[Red]&quot;Rs.&quot;\ \-#,##0.00"/>
    <numFmt numFmtId="166" formatCode="0\ &quot;KG&quot;"/>
    <numFmt numFmtId="167" formatCode="0.000"/>
    <numFmt numFmtId="168" formatCode="0\ &quot;Pcs&quot;"/>
    <numFmt numFmtId="169" formatCode="#\ &quot;KG&quot;"/>
  </numFmts>
  <fonts count="2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rgb="FF7030A0"/>
      <name val="Calibri"/>
      <family val="2"/>
      <scheme val="minor"/>
    </font>
    <font>
      <b/>
      <sz val="16"/>
      <color rgb="FF00B0F0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Kruti Dev 010"/>
    </font>
    <font>
      <b/>
      <sz val="48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i/>
      <u/>
      <sz val="20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FF0000"/>
      <name val="KBC_00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23" fillId="0" borderId="0" applyFont="0" applyFill="0" applyBorder="0" applyAlignment="0" applyProtection="0"/>
  </cellStyleXfs>
  <cellXfs count="108">
    <xf numFmtId="0" fontId="0" fillId="0" borderId="0" xfId="0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0" xfId="0" applyFont="1" applyFill="1"/>
    <xf numFmtId="0" fontId="1" fillId="4" borderId="0" xfId="0" applyFont="1" applyFill="1"/>
    <xf numFmtId="0" fontId="1" fillId="4" borderId="1" xfId="0" applyFont="1" applyFill="1" applyBorder="1"/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7" fillId="4" borderId="0" xfId="0" applyFont="1" applyFill="1"/>
    <xf numFmtId="0" fontId="8" fillId="6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166" fontId="0" fillId="0" borderId="0" xfId="0" applyNumberFormat="1"/>
    <xf numFmtId="0" fontId="1" fillId="8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1" xfId="0" applyBorder="1"/>
    <xf numFmtId="0" fontId="10" fillId="3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0" fillId="0" borderId="0" xfId="0" applyNumberFormat="1"/>
    <xf numFmtId="14" fontId="0" fillId="0" borderId="1" xfId="0" applyNumberFormat="1" applyBorder="1"/>
    <xf numFmtId="22" fontId="0" fillId="0" borderId="1" xfId="0" applyNumberFormat="1" applyBorder="1"/>
    <xf numFmtId="14" fontId="10" fillId="7" borderId="1" xfId="0" applyNumberFormat="1" applyFont="1" applyFill="1" applyBorder="1"/>
    <xf numFmtId="0" fontId="9" fillId="7" borderId="1" xfId="0" applyFont="1" applyFill="1" applyBorder="1"/>
    <xf numFmtId="0" fontId="1" fillId="9" borderId="1" xfId="0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9" fontId="0" fillId="0" borderId="1" xfId="0" applyNumberFormat="1" applyBorder="1"/>
    <xf numFmtId="168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8" fontId="0" fillId="0" borderId="0" xfId="0" applyNumberFormat="1"/>
    <xf numFmtId="0" fontId="9" fillId="0" borderId="0" xfId="0" applyFont="1"/>
    <xf numFmtId="0" fontId="2" fillId="0" borderId="0" xfId="0" applyFont="1"/>
    <xf numFmtId="0" fontId="9" fillId="3" borderId="0" xfId="0" applyFont="1" applyFill="1"/>
    <xf numFmtId="1" fontId="9" fillId="3" borderId="0" xfId="0" applyNumberFormat="1" applyFont="1" applyFill="1"/>
    <xf numFmtId="0" fontId="10" fillId="3" borderId="1" xfId="0" applyFont="1" applyFill="1" applyBorder="1"/>
    <xf numFmtId="0" fontId="5" fillId="9" borderId="6" xfId="0" applyFont="1" applyFill="1" applyBorder="1"/>
    <xf numFmtId="0" fontId="4" fillId="3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0" fillId="3" borderId="0" xfId="0" applyFont="1" applyFill="1"/>
    <xf numFmtId="0" fontId="10" fillId="3" borderId="0" xfId="0" applyFont="1" applyFill="1" applyAlignment="1">
      <alignment horizontal="center" vertical="center"/>
    </xf>
    <xf numFmtId="0" fontId="2" fillId="0" borderId="1" xfId="0" applyFont="1" applyBorder="1"/>
    <xf numFmtId="8" fontId="0" fillId="0" borderId="1" xfId="0" applyNumberFormat="1" applyBorder="1"/>
    <xf numFmtId="165" fontId="2" fillId="0" borderId="0" xfId="0" applyNumberFormat="1" applyFont="1"/>
    <xf numFmtId="165" fontId="1" fillId="3" borderId="0" xfId="0" applyNumberFormat="1" applyFont="1" applyFill="1"/>
    <xf numFmtId="165" fontId="2" fillId="3" borderId="0" xfId="0" applyNumberFormat="1" applyFont="1" applyFill="1"/>
    <xf numFmtId="0" fontId="1" fillId="5" borderId="0" xfId="0" applyFont="1" applyFill="1"/>
    <xf numFmtId="0" fontId="1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166" fontId="1" fillId="4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Font="1" applyBorder="1"/>
    <xf numFmtId="0" fontId="1" fillId="11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11" borderId="1" xfId="0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9" fillId="7" borderId="12" xfId="0" applyFont="1" applyFill="1" applyBorder="1"/>
    <xf numFmtId="164" fontId="0" fillId="0" borderId="1" xfId="1" applyFont="1" applyBorder="1"/>
    <xf numFmtId="164" fontId="0" fillId="0" borderId="0" xfId="0" applyNumberFormat="1"/>
    <xf numFmtId="0" fontId="5" fillId="0" borderId="1" xfId="0" applyFon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8" fillId="3" borderId="6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/>
    </xf>
    <xf numFmtId="0" fontId="21" fillId="11" borderId="10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0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0"/>
        <name val="Calibri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PivotTable Style 1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theme" Target="theme/theme1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7" totalsRowShown="0" headerRowDxfId="10" dataDxfId="8" headerRowBorderDxfId="9" tableBorderDxfId="7" totalsRowBorderDxfId="6">
  <tableColumns count="5">
    <tableColumn id="1" xr3:uid="{00000000-0010-0000-0000-000001000000}" name="NAME" dataDxfId="5"/>
    <tableColumn id="2" xr3:uid="{00000000-0010-0000-0000-000002000000}" name="JAN" dataDxfId="4"/>
    <tableColumn id="3" xr3:uid="{00000000-0010-0000-0000-000003000000}" name="FEB" dataDxfId="3"/>
    <tableColumn id="4" xr3:uid="{00000000-0010-0000-0000-000004000000}" name="MAR" dataDxfId="2"/>
    <tableColumn id="5" xr3:uid="{00000000-0010-0000-0000-000005000000}" name="TOTAL" dataDxfId="1">
      <calculatedColumnFormula>SUM(Table1[[#This Row],[JAN]:[MAR]])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opLeftCell="D1" zoomScale="175" zoomScaleNormal="175" workbookViewId="0">
      <selection activeCell="J2" sqref="J2"/>
    </sheetView>
  </sheetViews>
  <sheetFormatPr defaultRowHeight="15" x14ac:dyDescent="0.2"/>
  <cols>
    <col min="1" max="1" width="7.53125" bestFit="1" customWidth="1"/>
    <col min="2" max="2" width="18.83203125" bestFit="1" customWidth="1"/>
    <col min="3" max="3" width="15.19921875" bestFit="1" customWidth="1"/>
    <col min="4" max="4" width="9.14453125" bestFit="1" customWidth="1"/>
    <col min="5" max="5" width="10.625" bestFit="1" customWidth="1"/>
    <col min="6" max="6" width="10.35546875" bestFit="1" customWidth="1"/>
    <col min="7" max="7" width="6.9921875" bestFit="1" customWidth="1"/>
    <col min="8" max="8" width="8.33984375" bestFit="1" customWidth="1"/>
    <col min="9" max="9" width="4.03515625" bestFit="1" customWidth="1"/>
    <col min="10" max="10" width="6.58984375" bestFit="1" customWidth="1"/>
    <col min="13" max="13" width="10.625" bestFit="1" customWidth="1"/>
  </cols>
  <sheetData>
    <row r="1" spans="1:15" x14ac:dyDescent="0.2">
      <c r="A1" s="48" t="s">
        <v>0</v>
      </c>
      <c r="B1" s="48" t="s">
        <v>1</v>
      </c>
      <c r="C1" s="48" t="s">
        <v>3</v>
      </c>
      <c r="D1" s="48" t="s">
        <v>2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L1" s="5" t="s">
        <v>30</v>
      </c>
      <c r="M1" s="6" t="s">
        <v>31</v>
      </c>
      <c r="N1" s="5" t="s">
        <v>32</v>
      </c>
      <c r="O1" s="6" t="s">
        <v>33</v>
      </c>
    </row>
    <row r="2" spans="1:15" x14ac:dyDescent="0.2">
      <c r="A2" s="49">
        <v>1</v>
      </c>
      <c r="B2" s="49" t="s">
        <v>10</v>
      </c>
      <c r="C2" s="49" t="s">
        <v>20</v>
      </c>
      <c r="D2" s="49">
        <v>1001</v>
      </c>
      <c r="E2" s="49">
        <v>81</v>
      </c>
      <c r="F2" s="49">
        <v>79</v>
      </c>
      <c r="G2" s="49">
        <v>30</v>
      </c>
      <c r="H2" s="49">
        <v>42</v>
      </c>
      <c r="I2" s="49">
        <v>24</v>
      </c>
      <c r="J2" s="49">
        <f>SUM(E2:I2)</f>
        <v>256</v>
      </c>
      <c r="L2" s="1">
        <v>500</v>
      </c>
      <c r="M2" s="1">
        <v>500</v>
      </c>
      <c r="N2" s="1">
        <v>5</v>
      </c>
      <c r="O2" s="1">
        <v>50000</v>
      </c>
    </row>
    <row r="3" spans="1:15" x14ac:dyDescent="0.2">
      <c r="A3" s="49">
        <v>2</v>
      </c>
      <c r="B3" s="49" t="s">
        <v>11</v>
      </c>
      <c r="C3" s="49" t="s">
        <v>21</v>
      </c>
      <c r="D3" s="49">
        <v>1002</v>
      </c>
      <c r="E3" s="49">
        <v>90</v>
      </c>
      <c r="F3" s="49">
        <v>28</v>
      </c>
      <c r="G3" s="49">
        <v>67</v>
      </c>
      <c r="H3" s="49">
        <v>40</v>
      </c>
      <c r="I3" s="49">
        <v>83</v>
      </c>
      <c r="J3" s="49">
        <f>SUM(E3:I3)</f>
        <v>308</v>
      </c>
      <c r="L3" s="1">
        <v>600</v>
      </c>
      <c r="M3" s="1">
        <v>200</v>
      </c>
      <c r="N3" s="1">
        <v>5</v>
      </c>
      <c r="O3" s="1">
        <v>25</v>
      </c>
    </row>
    <row r="4" spans="1:15" x14ac:dyDescent="0.2">
      <c r="A4" s="49">
        <v>3</v>
      </c>
      <c r="B4" s="49" t="s">
        <v>12</v>
      </c>
      <c r="C4" s="49" t="s">
        <v>22</v>
      </c>
      <c r="D4" s="49">
        <v>1003</v>
      </c>
      <c r="E4" s="49">
        <v>57</v>
      </c>
      <c r="F4" s="49">
        <v>73</v>
      </c>
      <c r="G4" s="49">
        <v>93</v>
      </c>
      <c r="H4" s="49">
        <v>99</v>
      </c>
      <c r="I4" s="49">
        <v>36</v>
      </c>
      <c r="J4" s="49">
        <f t="shared" ref="J4:J11" si="0">SUM(E4:I4)</f>
        <v>358</v>
      </c>
      <c r="L4" s="2">
        <f>L2+L3</f>
        <v>1100</v>
      </c>
      <c r="M4" s="3">
        <f>M2-M3</f>
        <v>300</v>
      </c>
      <c r="N4" s="4">
        <f>N2*N3</f>
        <v>25</v>
      </c>
      <c r="O4" s="3">
        <f>O2/O3</f>
        <v>2000</v>
      </c>
    </row>
    <row r="5" spans="1:15" x14ac:dyDescent="0.2">
      <c r="A5" s="49">
        <v>4</v>
      </c>
      <c r="B5" s="49" t="s">
        <v>13</v>
      </c>
      <c r="C5" s="49" t="s">
        <v>23</v>
      </c>
      <c r="D5" s="49">
        <v>1004</v>
      </c>
      <c r="E5" s="49">
        <v>31</v>
      </c>
      <c r="F5" s="49">
        <v>99</v>
      </c>
      <c r="G5" s="49">
        <v>28</v>
      </c>
      <c r="H5" s="49">
        <v>45</v>
      </c>
      <c r="I5" s="49">
        <v>98</v>
      </c>
      <c r="J5" s="49">
        <f t="shared" si="0"/>
        <v>301</v>
      </c>
    </row>
    <row r="6" spans="1:15" x14ac:dyDescent="0.2">
      <c r="A6" s="49">
        <v>5</v>
      </c>
      <c r="B6" s="49" t="s">
        <v>14</v>
      </c>
      <c r="C6" s="49" t="s">
        <v>24</v>
      </c>
      <c r="D6" s="49">
        <v>1005</v>
      </c>
      <c r="E6" s="49">
        <v>24</v>
      </c>
      <c r="F6" s="49">
        <v>95</v>
      </c>
      <c r="G6" s="49">
        <v>66</v>
      </c>
      <c r="H6" s="49">
        <v>67</v>
      </c>
      <c r="I6" s="49">
        <v>28</v>
      </c>
      <c r="J6" s="49">
        <f t="shared" si="0"/>
        <v>280</v>
      </c>
    </row>
    <row r="7" spans="1:15" x14ac:dyDescent="0.2">
      <c r="A7" s="49">
        <v>6</v>
      </c>
      <c r="B7" s="49" t="s">
        <v>15</v>
      </c>
      <c r="C7" s="49" t="s">
        <v>25</v>
      </c>
      <c r="D7" s="49">
        <v>1006</v>
      </c>
      <c r="E7" s="49">
        <v>63</v>
      </c>
      <c r="F7" s="49">
        <v>22</v>
      </c>
      <c r="G7" s="49">
        <v>96</v>
      </c>
      <c r="H7" s="49">
        <v>83</v>
      </c>
      <c r="I7" s="49">
        <v>25</v>
      </c>
      <c r="J7" s="49">
        <f t="shared" si="0"/>
        <v>289</v>
      </c>
    </row>
    <row r="8" spans="1:15" x14ac:dyDescent="0.2">
      <c r="A8" s="49">
        <v>7</v>
      </c>
      <c r="B8" s="49" t="s">
        <v>16</v>
      </c>
      <c r="C8" s="49" t="s">
        <v>26</v>
      </c>
      <c r="D8" s="49">
        <v>1007</v>
      </c>
      <c r="E8" s="49">
        <v>37</v>
      </c>
      <c r="F8" s="49">
        <v>29</v>
      </c>
      <c r="G8" s="49">
        <v>51</v>
      </c>
      <c r="H8" s="49">
        <v>88</v>
      </c>
      <c r="I8" s="49">
        <v>98</v>
      </c>
      <c r="J8" s="49">
        <f t="shared" si="0"/>
        <v>303</v>
      </c>
    </row>
    <row r="9" spans="1:15" x14ac:dyDescent="0.2">
      <c r="A9" s="49">
        <v>8</v>
      </c>
      <c r="B9" s="49" t="s">
        <v>17</v>
      </c>
      <c r="C9" s="49" t="s">
        <v>27</v>
      </c>
      <c r="D9" s="49">
        <v>1008</v>
      </c>
      <c r="E9" s="49">
        <v>78</v>
      </c>
      <c r="F9" s="49">
        <v>73</v>
      </c>
      <c r="G9" s="49">
        <v>44</v>
      </c>
      <c r="H9" s="49">
        <v>37</v>
      </c>
      <c r="I9" s="49">
        <v>30</v>
      </c>
      <c r="J9" s="49">
        <f t="shared" si="0"/>
        <v>262</v>
      </c>
    </row>
    <row r="10" spans="1:15" x14ac:dyDescent="0.2">
      <c r="A10" s="49">
        <v>9</v>
      </c>
      <c r="B10" s="49" t="s">
        <v>18</v>
      </c>
      <c r="C10" s="49" t="s">
        <v>28</v>
      </c>
      <c r="D10" s="49">
        <v>1009</v>
      </c>
      <c r="E10" s="49">
        <v>68</v>
      </c>
      <c r="F10" s="49">
        <v>64</v>
      </c>
      <c r="G10" s="49">
        <v>75</v>
      </c>
      <c r="H10" s="49">
        <v>79</v>
      </c>
      <c r="I10" s="49">
        <v>79</v>
      </c>
      <c r="J10" s="49">
        <f t="shared" si="0"/>
        <v>365</v>
      </c>
    </row>
    <row r="11" spans="1:15" x14ac:dyDescent="0.2">
      <c r="A11" s="49">
        <v>10</v>
      </c>
      <c r="B11" s="49" t="s">
        <v>19</v>
      </c>
      <c r="C11" s="49" t="s">
        <v>29</v>
      </c>
      <c r="D11" s="49">
        <v>1010</v>
      </c>
      <c r="E11" s="49">
        <v>39</v>
      </c>
      <c r="F11" s="49">
        <v>68</v>
      </c>
      <c r="G11" s="49">
        <v>75</v>
      </c>
      <c r="H11" s="49">
        <v>91</v>
      </c>
      <c r="I11" s="49">
        <v>89</v>
      </c>
      <c r="J11" s="49">
        <f t="shared" si="0"/>
        <v>362</v>
      </c>
    </row>
    <row r="12" spans="1:15" x14ac:dyDescent="0.2">
      <c r="E12">
        <f>MAX(E2:E11)</f>
        <v>90</v>
      </c>
    </row>
  </sheetData>
  <pageMargins left="0.7" right="0.7" top="0.75" bottom="0.75" header="0.3" footer="0.3"/>
  <pageSetup orientation="portrait" verticalDpi="0" r:id="rId1"/>
  <ignoredErrors>
    <ignoredError sqref="J2:J3 J8:J11 J4:J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"/>
  <sheetViews>
    <sheetView zoomScale="145" zoomScaleNormal="145" workbookViewId="0">
      <selection activeCell="M4" sqref="M4"/>
    </sheetView>
  </sheetViews>
  <sheetFormatPr defaultRowHeight="15" x14ac:dyDescent="0.2"/>
  <cols>
    <col min="1" max="1" width="16.8125" bestFit="1" customWidth="1"/>
    <col min="2" max="2" width="11.8359375" customWidth="1"/>
    <col min="3" max="3" width="6.58984375" bestFit="1" customWidth="1"/>
    <col min="4" max="4" width="16.8125" bestFit="1" customWidth="1"/>
    <col min="5" max="5" width="18.96484375" bestFit="1" customWidth="1"/>
    <col min="7" max="7" width="8.47265625" customWidth="1"/>
    <col min="8" max="8" width="12.23828125" bestFit="1" customWidth="1"/>
    <col min="15" max="15" width="12.375" customWidth="1"/>
  </cols>
  <sheetData>
    <row r="1" spans="1:16" ht="18.75" x14ac:dyDescent="0.2">
      <c r="A1" s="10" t="s">
        <v>1</v>
      </c>
      <c r="B1" s="11" t="s">
        <v>34</v>
      </c>
      <c r="C1" s="11" t="s">
        <v>35</v>
      </c>
      <c r="D1" s="11" t="s">
        <v>36</v>
      </c>
      <c r="E1" s="12" t="s">
        <v>9</v>
      </c>
      <c r="G1" s="42" t="s">
        <v>37</v>
      </c>
      <c r="H1" s="42" t="s">
        <v>202</v>
      </c>
      <c r="J1" s="55" t="s">
        <v>203</v>
      </c>
      <c r="K1" s="55" t="s">
        <v>204</v>
      </c>
    </row>
    <row r="2" spans="1:16" x14ac:dyDescent="0.2">
      <c r="A2" s="13" t="s">
        <v>37</v>
      </c>
      <c r="B2" s="14">
        <v>46644</v>
      </c>
      <c r="C2" s="14">
        <v>24295</v>
      </c>
      <c r="D2" s="14">
        <v>47395</v>
      </c>
      <c r="E2" s="15">
        <f>SUM(Table1[[#This Row],[JAN]:[MAR]])</f>
        <v>118334</v>
      </c>
      <c r="G2" t="s">
        <v>173</v>
      </c>
      <c r="H2">
        <v>174</v>
      </c>
      <c r="J2">
        <v>545</v>
      </c>
      <c r="K2">
        <v>4896</v>
      </c>
    </row>
    <row r="3" spans="1:16" x14ac:dyDescent="0.2">
      <c r="A3" s="13" t="s">
        <v>38</v>
      </c>
      <c r="B3" s="14">
        <v>39912</v>
      </c>
      <c r="C3" s="14">
        <v>18917</v>
      </c>
      <c r="D3" s="14">
        <v>22910</v>
      </c>
      <c r="E3" s="15">
        <f>SUM(Table1[[#This Row],[JAN]:[MAR]])</f>
        <v>81739</v>
      </c>
      <c r="G3" t="s">
        <v>172</v>
      </c>
      <c r="H3">
        <v>525</v>
      </c>
      <c r="I3" s="41"/>
      <c r="J3" s="42">
        <v>4396</v>
      </c>
      <c r="K3">
        <v>4928</v>
      </c>
    </row>
    <row r="4" spans="1:16" x14ac:dyDescent="0.2">
      <c r="A4" s="13" t="s">
        <v>39</v>
      </c>
      <c r="B4" s="14">
        <v>23463</v>
      </c>
      <c r="C4" s="14">
        <v>49783</v>
      </c>
      <c r="D4" s="14">
        <v>13880</v>
      </c>
      <c r="E4" s="15">
        <f>SUM(Table1[[#This Row],[JAN]:[MAR]])</f>
        <v>87126</v>
      </c>
      <c r="G4" t="s">
        <v>174</v>
      </c>
      <c r="H4">
        <v>717</v>
      </c>
      <c r="J4">
        <v>767</v>
      </c>
      <c r="K4">
        <v>2264</v>
      </c>
    </row>
    <row r="5" spans="1:16" x14ac:dyDescent="0.2">
      <c r="A5" s="13" t="s">
        <v>40</v>
      </c>
      <c r="B5" s="14">
        <v>15553</v>
      </c>
      <c r="C5" s="14">
        <v>46154</v>
      </c>
      <c r="D5" s="14">
        <v>65000</v>
      </c>
      <c r="E5" s="15">
        <f>SUM(Table1[[#This Row],[JAN]:[MAR]])</f>
        <v>126707</v>
      </c>
      <c r="G5" t="s">
        <v>175</v>
      </c>
      <c r="H5">
        <v>434</v>
      </c>
      <c r="J5">
        <v>7398</v>
      </c>
      <c r="K5">
        <v>2629</v>
      </c>
    </row>
    <row r="6" spans="1:16" x14ac:dyDescent="0.2">
      <c r="A6" s="13" t="s">
        <v>41</v>
      </c>
      <c r="B6" s="14">
        <v>29884</v>
      </c>
      <c r="C6" s="14">
        <v>36686</v>
      </c>
      <c r="D6" s="14">
        <v>14430</v>
      </c>
      <c r="E6" s="15">
        <f>SUM(Table1[[#This Row],[JAN]:[MAR]])</f>
        <v>81000</v>
      </c>
      <c r="G6" t="s">
        <v>176</v>
      </c>
      <c r="H6">
        <v>824</v>
      </c>
      <c r="J6">
        <v>146</v>
      </c>
      <c r="K6">
        <v>4484</v>
      </c>
    </row>
    <row r="7" spans="1:16" x14ac:dyDescent="0.2">
      <c r="A7" s="13" t="s">
        <v>42</v>
      </c>
      <c r="B7" s="14">
        <v>15431</v>
      </c>
      <c r="C7" s="14">
        <v>16780</v>
      </c>
      <c r="D7" s="14">
        <v>50000</v>
      </c>
      <c r="E7" s="15">
        <f>SUM(Table1[[#This Row],[JAN]:[MAR]])</f>
        <v>82211</v>
      </c>
      <c r="G7" t="s">
        <v>177</v>
      </c>
      <c r="H7">
        <v>823</v>
      </c>
      <c r="J7">
        <v>7551</v>
      </c>
      <c r="K7">
        <v>2516</v>
      </c>
    </row>
    <row r="8" spans="1:16" x14ac:dyDescent="0.2">
      <c r="A8" s="13" t="s">
        <v>43</v>
      </c>
      <c r="B8" s="14">
        <v>16712</v>
      </c>
      <c r="C8" s="14">
        <v>17734</v>
      </c>
      <c r="D8" s="14">
        <v>7678</v>
      </c>
      <c r="E8" s="15">
        <f>SUM(Table1[[#This Row],[JAN]:[MAR]])</f>
        <v>42124</v>
      </c>
      <c r="G8" t="s">
        <v>178</v>
      </c>
      <c r="H8">
        <v>160</v>
      </c>
      <c r="J8">
        <v>4673</v>
      </c>
      <c r="K8">
        <v>4949</v>
      </c>
    </row>
    <row r="9" spans="1:16" x14ac:dyDescent="0.2">
      <c r="A9" s="13" t="s">
        <v>44</v>
      </c>
      <c r="B9" s="14">
        <v>28632</v>
      </c>
      <c r="C9" s="14">
        <v>1000</v>
      </c>
      <c r="D9" s="14">
        <v>21802</v>
      </c>
      <c r="E9" s="15">
        <f>SUM(Table1[[#This Row],[JAN]:[MAR]])</f>
        <v>51434</v>
      </c>
      <c r="G9" t="s">
        <v>179</v>
      </c>
      <c r="H9">
        <v>910</v>
      </c>
      <c r="J9">
        <v>1477</v>
      </c>
      <c r="K9">
        <v>3450</v>
      </c>
    </row>
    <row r="10" spans="1:16" x14ac:dyDescent="0.2">
      <c r="A10" s="13" t="s">
        <v>43</v>
      </c>
      <c r="B10" s="14">
        <v>50000</v>
      </c>
      <c r="C10" s="14">
        <v>24370</v>
      </c>
      <c r="D10" s="14">
        <v>10479</v>
      </c>
      <c r="E10" s="15">
        <f>SUM(Table1[[#This Row],[JAN]:[MAR]])</f>
        <v>84849</v>
      </c>
      <c r="G10" t="s">
        <v>180</v>
      </c>
      <c r="H10">
        <v>651</v>
      </c>
      <c r="J10">
        <v>3866</v>
      </c>
      <c r="K10">
        <v>855</v>
      </c>
    </row>
    <row r="11" spans="1:16" x14ac:dyDescent="0.2">
      <c r="A11" s="13" t="s">
        <v>45</v>
      </c>
      <c r="B11" s="14">
        <v>22787</v>
      </c>
      <c r="C11" s="14">
        <v>7806</v>
      </c>
      <c r="D11" s="14">
        <v>111565</v>
      </c>
      <c r="E11" s="15">
        <f>SUM(Table1[[#This Row],[JAN]:[MAR]])</f>
        <v>142158</v>
      </c>
      <c r="G11" t="s">
        <v>181</v>
      </c>
      <c r="H11">
        <v>325</v>
      </c>
      <c r="J11">
        <v>4246</v>
      </c>
      <c r="K11">
        <v>2189</v>
      </c>
      <c r="O11" t="s">
        <v>209</v>
      </c>
    </row>
    <row r="12" spans="1:16" x14ac:dyDescent="0.2">
      <c r="A12" s="13" t="s">
        <v>40</v>
      </c>
      <c r="B12" s="14">
        <v>24745</v>
      </c>
      <c r="C12" s="14">
        <v>26413</v>
      </c>
      <c r="D12" s="14">
        <v>39898</v>
      </c>
      <c r="E12" s="15">
        <f>SUM(Table1[[#This Row],[JAN]:[MAR]])</f>
        <v>91056</v>
      </c>
      <c r="G12" t="s">
        <v>182</v>
      </c>
      <c r="H12">
        <v>27</v>
      </c>
      <c r="J12">
        <v>719</v>
      </c>
      <c r="K12">
        <v>268</v>
      </c>
      <c r="M12" s="55" t="s">
        <v>238</v>
      </c>
      <c r="O12" t="s">
        <v>173</v>
      </c>
      <c r="P12">
        <v>8807</v>
      </c>
    </row>
    <row r="13" spans="1:16" x14ac:dyDescent="0.2">
      <c r="A13" s="13" t="s">
        <v>46</v>
      </c>
      <c r="B13" s="14">
        <v>8096</v>
      </c>
      <c r="C13" s="14">
        <v>17845</v>
      </c>
      <c r="D13" s="14">
        <v>16146</v>
      </c>
      <c r="E13" s="15">
        <f>SUM(Table1[[#This Row],[JAN]:[MAR]])</f>
        <v>42087</v>
      </c>
      <c r="G13" t="s">
        <v>183</v>
      </c>
      <c r="H13">
        <v>478</v>
      </c>
      <c r="J13">
        <v>7752</v>
      </c>
      <c r="K13">
        <v>2251</v>
      </c>
      <c r="M13">
        <v>7967</v>
      </c>
      <c r="O13" t="s">
        <v>172</v>
      </c>
      <c r="P13">
        <v>44385</v>
      </c>
    </row>
    <row r="14" spans="1:16" x14ac:dyDescent="0.2">
      <c r="A14" s="13" t="s">
        <v>47</v>
      </c>
      <c r="B14" s="14">
        <v>3026</v>
      </c>
      <c r="C14" s="14">
        <v>7162</v>
      </c>
      <c r="D14" s="14">
        <v>47565</v>
      </c>
      <c r="E14" s="15">
        <f>SUM(Table1[[#This Row],[JAN]:[MAR]])</f>
        <v>57753</v>
      </c>
      <c r="G14" t="s">
        <v>184</v>
      </c>
      <c r="H14">
        <v>56</v>
      </c>
      <c r="J14">
        <v>8398</v>
      </c>
      <c r="K14">
        <v>3472</v>
      </c>
      <c r="M14">
        <v>7324</v>
      </c>
      <c r="O14" t="s">
        <v>174</v>
      </c>
      <c r="P14">
        <v>23232</v>
      </c>
    </row>
    <row r="15" spans="1:16" x14ac:dyDescent="0.2">
      <c r="A15" s="13" t="s">
        <v>48</v>
      </c>
      <c r="B15" s="14">
        <v>28662</v>
      </c>
      <c r="C15" s="14">
        <v>9005</v>
      </c>
      <c r="D15" s="14">
        <v>48432</v>
      </c>
      <c r="E15" s="15">
        <f>SUM(Table1[[#This Row],[JAN]:[MAR]])</f>
        <v>86099</v>
      </c>
      <c r="G15" t="s">
        <v>185</v>
      </c>
      <c r="H15">
        <v>274</v>
      </c>
      <c r="J15">
        <v>518</v>
      </c>
      <c r="K15">
        <v>4952</v>
      </c>
      <c r="M15">
        <v>8347</v>
      </c>
      <c r="O15" t="s">
        <v>175</v>
      </c>
      <c r="P15">
        <v>10597</v>
      </c>
    </row>
    <row r="16" spans="1:16" x14ac:dyDescent="0.2">
      <c r="A16" s="13" t="s">
        <v>49</v>
      </c>
      <c r="B16" s="14">
        <v>7724</v>
      </c>
      <c r="C16" s="14">
        <v>48957</v>
      </c>
      <c r="D16" s="14">
        <v>44357</v>
      </c>
      <c r="E16" s="15">
        <f>SUM(Table1[[#This Row],[JAN]:[MAR]])</f>
        <v>101038</v>
      </c>
      <c r="G16" t="s">
        <v>186</v>
      </c>
      <c r="H16">
        <v>361</v>
      </c>
      <c r="J16">
        <v>8645</v>
      </c>
      <c r="K16">
        <v>2467</v>
      </c>
      <c r="M16">
        <v>8899</v>
      </c>
      <c r="O16" t="s">
        <v>176</v>
      </c>
      <c r="P16">
        <v>22541</v>
      </c>
    </row>
    <row r="17" spans="1:16" x14ac:dyDescent="0.2">
      <c r="A17" s="16" t="s">
        <v>26</v>
      </c>
      <c r="B17" s="17">
        <v>2695</v>
      </c>
      <c r="C17" s="17">
        <v>22864</v>
      </c>
      <c r="D17" s="17">
        <v>19646</v>
      </c>
      <c r="E17" s="18">
        <f>SUM(Table1[[#This Row],[JAN]:[MAR]])</f>
        <v>45205</v>
      </c>
      <c r="G17" t="s">
        <v>187</v>
      </c>
      <c r="H17">
        <v>826</v>
      </c>
      <c r="J17">
        <v>757</v>
      </c>
      <c r="K17">
        <v>1579</v>
      </c>
      <c r="M17">
        <v>6065</v>
      </c>
      <c r="O17" t="s">
        <v>177</v>
      </c>
      <c r="P17">
        <v>26327</v>
      </c>
    </row>
    <row r="18" spans="1:16" x14ac:dyDescent="0.2">
      <c r="G18" t="s">
        <v>188</v>
      </c>
      <c r="H18">
        <v>338</v>
      </c>
      <c r="J18">
        <v>8172</v>
      </c>
      <c r="K18">
        <v>930</v>
      </c>
      <c r="M18">
        <v>4627</v>
      </c>
      <c r="O18" t="s">
        <v>178</v>
      </c>
      <c r="P18">
        <v>20561</v>
      </c>
    </row>
    <row r="19" spans="1:16" ht="25.5" x14ac:dyDescent="0.35">
      <c r="A19" s="19" t="s">
        <v>50</v>
      </c>
      <c r="B19" s="20"/>
      <c r="D19" s="19" t="s">
        <v>51</v>
      </c>
      <c r="E19" s="20"/>
      <c r="G19" t="s">
        <v>189</v>
      </c>
      <c r="H19">
        <v>257</v>
      </c>
      <c r="J19">
        <v>3866</v>
      </c>
      <c r="K19">
        <v>3010</v>
      </c>
      <c r="M19">
        <v>7112</v>
      </c>
      <c r="O19" s="54" t="s">
        <v>50</v>
      </c>
    </row>
    <row r="20" spans="1:16" x14ac:dyDescent="0.2">
      <c r="G20" t="s">
        <v>190</v>
      </c>
      <c r="H20">
        <v>540</v>
      </c>
      <c r="J20">
        <v>1855</v>
      </c>
      <c r="K20">
        <v>250</v>
      </c>
      <c r="M20">
        <v>4631</v>
      </c>
    </row>
    <row r="21" spans="1:16" x14ac:dyDescent="0.2">
      <c r="G21" t="s">
        <v>191</v>
      </c>
      <c r="H21">
        <v>998</v>
      </c>
      <c r="J21">
        <v>181</v>
      </c>
      <c r="K21">
        <v>2631</v>
      </c>
      <c r="M21">
        <v>548</v>
      </c>
    </row>
    <row r="22" spans="1:16" ht="25.5" x14ac:dyDescent="0.35">
      <c r="A22" s="19" t="s">
        <v>52</v>
      </c>
      <c r="B22" s="20"/>
      <c r="D22" s="19" t="s">
        <v>53</v>
      </c>
      <c r="E22" s="20"/>
      <c r="G22" t="s">
        <v>192</v>
      </c>
      <c r="H22">
        <v>531</v>
      </c>
      <c r="J22">
        <v>9725</v>
      </c>
      <c r="K22">
        <v>3622</v>
      </c>
      <c r="M22">
        <v>6299</v>
      </c>
    </row>
    <row r="23" spans="1:16" x14ac:dyDescent="0.2">
      <c r="G23" t="s">
        <v>193</v>
      </c>
      <c r="H23">
        <v>772</v>
      </c>
      <c r="J23">
        <v>2654</v>
      </c>
      <c r="K23">
        <v>4158</v>
      </c>
      <c r="M23">
        <v>4499</v>
      </c>
    </row>
    <row r="24" spans="1:16" x14ac:dyDescent="0.2">
      <c r="G24" t="s">
        <v>194</v>
      </c>
      <c r="H24">
        <v>101</v>
      </c>
      <c r="J24">
        <v>9039</v>
      </c>
      <c r="K24">
        <v>656</v>
      </c>
      <c r="M24">
        <v>6351</v>
      </c>
    </row>
    <row r="25" spans="1:16" x14ac:dyDescent="0.2">
      <c r="G25" t="s">
        <v>195</v>
      </c>
      <c r="H25">
        <v>236</v>
      </c>
      <c r="J25">
        <v>1651</v>
      </c>
      <c r="K25">
        <v>2170</v>
      </c>
      <c r="M25">
        <v>928</v>
      </c>
    </row>
    <row r="26" spans="1:16" x14ac:dyDescent="0.2">
      <c r="G26" t="s">
        <v>196</v>
      </c>
      <c r="H26">
        <v>524</v>
      </c>
      <c r="J26">
        <v>9723</v>
      </c>
      <c r="K26">
        <v>1073</v>
      </c>
      <c r="M26">
        <v>2585</v>
      </c>
    </row>
    <row r="27" spans="1:16" x14ac:dyDescent="0.2">
      <c r="G27" t="s">
        <v>197</v>
      </c>
      <c r="H27">
        <v>729</v>
      </c>
      <c r="J27" s="8">
        <f>MAX(J2:J26)</f>
        <v>9725</v>
      </c>
      <c r="K27" s="8">
        <f>MIN(K2:K26)</f>
        <v>250</v>
      </c>
      <c r="M27">
        <v>2546</v>
      </c>
    </row>
    <row r="28" spans="1:16" x14ac:dyDescent="0.2">
      <c r="G28" t="s">
        <v>198</v>
      </c>
      <c r="H28">
        <v>901</v>
      </c>
    </row>
    <row r="29" spans="1:16" x14ac:dyDescent="0.2">
      <c r="G29" t="s">
        <v>199</v>
      </c>
      <c r="H29">
        <v>114</v>
      </c>
      <c r="M29">
        <v>2176</v>
      </c>
    </row>
    <row r="30" spans="1:16" x14ac:dyDescent="0.2">
      <c r="G30" t="s">
        <v>200</v>
      </c>
      <c r="H30">
        <v>873</v>
      </c>
      <c r="M30" s="8">
        <f>COUNT(M13:M29)</f>
        <v>16</v>
      </c>
    </row>
    <row r="31" spans="1:16" x14ac:dyDescent="0.2">
      <c r="G31" t="s">
        <v>201</v>
      </c>
      <c r="H31">
        <v>334</v>
      </c>
    </row>
    <row r="32" spans="1:16" x14ac:dyDescent="0.2">
      <c r="G32" s="43" t="s">
        <v>50</v>
      </c>
      <c r="H32" s="44">
        <f>AVERAGE(H2:H31)</f>
        <v>493.76666666666665</v>
      </c>
    </row>
  </sheetData>
  <pageMargins left="0.7" right="0.7" top="0.75" bottom="0.75" header="0.3" footer="0.3"/>
  <pageSetup orientation="portrait" r:id="rId1"/>
  <cellWatches>
    <cellWatch r="A1"/>
    <cellWatch r="B1"/>
    <cellWatch r="C1"/>
    <cellWatch r="D1"/>
    <cellWatch r="A2"/>
    <cellWatch r="B2"/>
    <cellWatch r="C2"/>
    <cellWatch r="D2"/>
    <cellWatch r="A3"/>
    <cellWatch r="B3"/>
    <cellWatch r="C3"/>
    <cellWatch r="D3"/>
    <cellWatch r="A4"/>
    <cellWatch r="B4"/>
    <cellWatch r="C4"/>
    <cellWatch r="D4"/>
    <cellWatch r="A5"/>
    <cellWatch r="B5"/>
    <cellWatch r="C5"/>
    <cellWatch r="D5"/>
    <cellWatch r="A6"/>
    <cellWatch r="B6"/>
    <cellWatch r="C6"/>
    <cellWatch r="D6"/>
    <cellWatch r="A7"/>
    <cellWatch r="B7"/>
    <cellWatch r="C7"/>
    <cellWatch r="D7"/>
    <cellWatch r="A8"/>
    <cellWatch r="B8"/>
    <cellWatch r="C8"/>
    <cellWatch r="D8"/>
    <cellWatch r="A9"/>
    <cellWatch r="B9"/>
    <cellWatch r="C9"/>
    <cellWatch r="D9"/>
    <cellWatch r="A10"/>
    <cellWatch r="B10"/>
    <cellWatch r="C10"/>
    <cellWatch r="D10"/>
    <cellWatch r="A11"/>
    <cellWatch r="B11"/>
    <cellWatch r="C11"/>
    <cellWatch r="D11"/>
    <cellWatch r="A12"/>
    <cellWatch r="B12"/>
    <cellWatch r="C12"/>
    <cellWatch r="D12"/>
    <cellWatch r="A13"/>
    <cellWatch r="B13"/>
    <cellWatch r="C13"/>
    <cellWatch r="D13"/>
    <cellWatch r="A14"/>
    <cellWatch r="B14"/>
    <cellWatch r="C14"/>
    <cellWatch r="D14"/>
    <cellWatch r="A15"/>
    <cellWatch r="B15"/>
    <cellWatch r="C15"/>
    <cellWatch r="D15"/>
    <cellWatch r="A16"/>
    <cellWatch r="B16"/>
    <cellWatch r="C16"/>
    <cellWatch r="D16"/>
    <cellWatch r="A17"/>
    <cellWatch r="B17"/>
    <cellWatch r="C17"/>
    <cellWatch r="D17"/>
    <cellWatch r="E1"/>
    <cellWatch r="E2"/>
    <cellWatch r="E3"/>
    <cellWatch r="E4"/>
    <cellWatch r="E5"/>
    <cellWatch r="E6"/>
    <cellWatch r="E7"/>
    <cellWatch r="E8"/>
    <cellWatch r="E9"/>
    <cellWatch r="E10"/>
    <cellWatch r="E11"/>
    <cellWatch r="E12"/>
    <cellWatch r="E13"/>
    <cellWatch r="E14"/>
    <cellWatch r="E15"/>
    <cellWatch r="E16"/>
    <cellWatch r="E17"/>
  </cellWatche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"/>
  <sheetViews>
    <sheetView zoomScale="130" zoomScaleNormal="130" workbookViewId="0">
      <selection activeCell="F17" sqref="F17"/>
    </sheetView>
  </sheetViews>
  <sheetFormatPr defaultRowHeight="15" x14ac:dyDescent="0.2"/>
  <cols>
    <col min="4" max="4" width="15.46875" customWidth="1"/>
    <col min="5" max="5" width="16.8125" bestFit="1" customWidth="1"/>
    <col min="6" max="6" width="13.98828125" bestFit="1" customWidth="1"/>
    <col min="7" max="7" width="12.375" bestFit="1" customWidth="1"/>
    <col min="8" max="8" width="11.703125" bestFit="1" customWidth="1"/>
    <col min="9" max="9" width="30.8046875" customWidth="1"/>
    <col min="11" max="11" width="6.58984375" bestFit="1" customWidth="1"/>
  </cols>
  <sheetData>
    <row r="1" spans="1:12" x14ac:dyDescent="0.2">
      <c r="A1" s="61" t="s">
        <v>272</v>
      </c>
      <c r="B1" s="61"/>
      <c r="C1" s="61"/>
      <c r="D1" s="61"/>
      <c r="E1" t="s">
        <v>134</v>
      </c>
      <c r="F1" s="89" t="s">
        <v>207</v>
      </c>
      <c r="G1" s="89"/>
      <c r="H1" s="89"/>
    </row>
    <row r="2" spans="1:12" ht="23.25" x14ac:dyDescent="0.3">
      <c r="A2" s="61" t="s">
        <v>273</v>
      </c>
      <c r="B2" s="61"/>
      <c r="C2" s="61"/>
      <c r="D2" s="61"/>
      <c r="E2" t="s">
        <v>271</v>
      </c>
      <c r="F2" s="88" t="s">
        <v>208</v>
      </c>
      <c r="G2" s="88"/>
      <c r="H2" s="88"/>
    </row>
    <row r="3" spans="1:12" x14ac:dyDescent="0.2">
      <c r="A3" s="61" t="s">
        <v>274</v>
      </c>
      <c r="B3" s="61"/>
      <c r="C3" s="61"/>
      <c r="D3" s="61"/>
    </row>
    <row r="4" spans="1:12" x14ac:dyDescent="0.2">
      <c r="A4" s="61" t="s">
        <v>136</v>
      </c>
      <c r="B4" s="61"/>
      <c r="C4" s="61"/>
      <c r="D4" s="61"/>
    </row>
    <row r="5" spans="1:12" x14ac:dyDescent="0.2">
      <c r="A5" s="61" t="s">
        <v>137</v>
      </c>
      <c r="B5" s="61"/>
      <c r="C5" s="61"/>
      <c r="D5" s="61"/>
      <c r="E5" s="91" t="s">
        <v>142</v>
      </c>
      <c r="F5" s="91"/>
      <c r="G5" s="91"/>
    </row>
    <row r="6" spans="1:12" x14ac:dyDescent="0.2">
      <c r="I6" s="29"/>
    </row>
    <row r="7" spans="1:12" x14ac:dyDescent="0.2">
      <c r="E7" s="45" t="s">
        <v>128</v>
      </c>
      <c r="F7" s="26">
        <v>500000</v>
      </c>
      <c r="G7" s="26" t="s">
        <v>239</v>
      </c>
      <c r="I7" s="40"/>
    </row>
    <row r="8" spans="1:12" x14ac:dyDescent="0.2">
      <c r="E8" s="45" t="s">
        <v>129</v>
      </c>
      <c r="F8" s="36">
        <v>0.09</v>
      </c>
      <c r="G8" s="26" t="s">
        <v>135</v>
      </c>
      <c r="I8" s="40"/>
      <c r="K8" s="40"/>
    </row>
    <row r="9" spans="1:12" x14ac:dyDescent="0.2">
      <c r="E9" s="45" t="s">
        <v>130</v>
      </c>
      <c r="F9" s="26">
        <v>5</v>
      </c>
      <c r="G9" s="26" t="s">
        <v>205</v>
      </c>
      <c r="I9" s="40"/>
    </row>
    <row r="10" spans="1:12" x14ac:dyDescent="0.2">
      <c r="E10" s="9" t="s">
        <v>131</v>
      </c>
      <c r="F10" s="84">
        <f>PMT(F8/12,F9*12,F7)</f>
        <v>-10379.177613177004</v>
      </c>
      <c r="G10" s="26"/>
    </row>
    <row r="11" spans="1:12" x14ac:dyDescent="0.2">
      <c r="E11" s="9" t="s">
        <v>132</v>
      </c>
      <c r="F11" s="84">
        <f>IPMT(F8/12,1,F9*12,F7)</f>
        <v>-3750.0000000000005</v>
      </c>
      <c r="G11" s="26"/>
      <c r="H11" s="85">
        <f>F11+F12</f>
        <v>-10379.177613177004</v>
      </c>
    </row>
    <row r="12" spans="1:12" x14ac:dyDescent="0.2">
      <c r="E12" s="9" t="s">
        <v>133</v>
      </c>
      <c r="F12" s="84">
        <f>PPMT(F8/12,1,F9*12,F7)</f>
        <v>-6629.1776131770039</v>
      </c>
      <c r="G12" s="57"/>
      <c r="I12" s="40"/>
    </row>
    <row r="13" spans="1:12" x14ac:dyDescent="0.2">
      <c r="F13" s="29"/>
      <c r="G13" s="40"/>
    </row>
    <row r="14" spans="1:12" x14ac:dyDescent="0.2">
      <c r="D14" s="56" t="s">
        <v>131</v>
      </c>
      <c r="E14" s="56" t="s">
        <v>134</v>
      </c>
      <c r="F14" s="60">
        <f>PMT(F8/12,F9*12,F7)</f>
        <v>-10379.177613177004</v>
      </c>
      <c r="G14" s="40"/>
    </row>
    <row r="15" spans="1:12" x14ac:dyDescent="0.2">
      <c r="D15" s="56" t="s">
        <v>132</v>
      </c>
      <c r="E15" s="9" t="s">
        <v>240</v>
      </c>
      <c r="F15" s="58">
        <f>IPMT(F8/12,1,F9*12,F7)</f>
        <v>-3750.0000000000005</v>
      </c>
      <c r="G15" s="92" t="s">
        <v>138</v>
      </c>
      <c r="H15" s="92"/>
      <c r="I15" s="92"/>
      <c r="J15" s="92"/>
      <c r="K15" s="92"/>
      <c r="L15" s="92"/>
    </row>
    <row r="16" spans="1:12" x14ac:dyDescent="0.2">
      <c r="D16" s="56"/>
      <c r="E16" s="9" t="s">
        <v>241</v>
      </c>
      <c r="F16" s="58">
        <f>IPMT(F8/12,2,F9*12,F7)</f>
        <v>-3700.2811679011725</v>
      </c>
      <c r="G16" s="92" t="s">
        <v>140</v>
      </c>
      <c r="H16" s="92"/>
      <c r="I16" s="92"/>
      <c r="J16" s="92"/>
      <c r="K16" s="92"/>
      <c r="L16" s="92"/>
    </row>
    <row r="17" spans="4:12" x14ac:dyDescent="0.2">
      <c r="D17" s="56"/>
      <c r="E17" s="9" t="s">
        <v>242</v>
      </c>
      <c r="F17" s="58">
        <f>IPMT(F8/12,3,F9*12,F7)</f>
        <v>-3650.189444561604</v>
      </c>
      <c r="G17" s="92" t="s">
        <v>139</v>
      </c>
      <c r="H17" s="92"/>
      <c r="I17" s="92"/>
      <c r="J17" s="92"/>
      <c r="K17" s="92"/>
      <c r="L17" s="92"/>
    </row>
    <row r="18" spans="4:12" x14ac:dyDescent="0.2">
      <c r="D18" s="56" t="s">
        <v>133</v>
      </c>
      <c r="E18" s="56"/>
      <c r="F18" s="59">
        <f>PPMT(F8/12,1,F9*12,F7)</f>
        <v>-6629.1776131770039</v>
      </c>
      <c r="G18" s="90" t="s">
        <v>141</v>
      </c>
      <c r="H18" s="90"/>
      <c r="I18" s="90"/>
      <c r="J18" s="90"/>
      <c r="K18" s="90"/>
      <c r="L18" s="90"/>
    </row>
  </sheetData>
  <mergeCells count="7">
    <mergeCell ref="F2:H2"/>
    <mergeCell ref="F1:H1"/>
    <mergeCell ref="G18:L18"/>
    <mergeCell ref="E5:G5"/>
    <mergeCell ref="G15:L15"/>
    <mergeCell ref="G16:L16"/>
    <mergeCell ref="G17:L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topLeftCell="A2" zoomScale="70" zoomScaleNormal="70" workbookViewId="0">
      <selection activeCell="I32" sqref="I32"/>
    </sheetView>
  </sheetViews>
  <sheetFormatPr defaultColWidth="9.14453125" defaultRowHeight="15" x14ac:dyDescent="0.2"/>
  <cols>
    <col min="1" max="1" width="7.12890625" style="50" bestFit="1" customWidth="1"/>
    <col min="2" max="2" width="9.14453125" style="50" bestFit="1" customWidth="1"/>
    <col min="3" max="3" width="16.6796875" style="50" bestFit="1" customWidth="1"/>
    <col min="4" max="4" width="20.58203125" style="50" bestFit="1" customWidth="1"/>
    <col min="5" max="5" width="12.375" style="50" bestFit="1" customWidth="1"/>
    <col min="6" max="7" width="13.046875" style="50" bestFit="1" customWidth="1"/>
    <col min="8" max="8" width="6.72265625" style="50" bestFit="1" customWidth="1"/>
    <col min="9" max="9" width="11.43359375" style="50" bestFit="1" customWidth="1"/>
    <col min="10" max="10" width="9.55078125" style="50" bestFit="1" customWidth="1"/>
    <col min="11" max="11" width="8.609375" style="50" bestFit="1" customWidth="1"/>
    <col min="12" max="12" width="9.14453125" style="50" bestFit="1" customWidth="1"/>
    <col min="13" max="13" width="7.3984375" style="50" bestFit="1" customWidth="1"/>
    <col min="14" max="16384" width="9.14453125" style="50"/>
  </cols>
  <sheetData>
    <row r="1" spans="1:13" ht="61.5" x14ac:dyDescent="0.2">
      <c r="A1" s="93" t="s">
        <v>210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3" ht="29.25" x14ac:dyDescent="0.2">
      <c r="A2" s="96" t="s">
        <v>237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1:13" x14ac:dyDescent="0.2">
      <c r="A3" s="51" t="s">
        <v>61</v>
      </c>
      <c r="B3" s="51" t="s">
        <v>2</v>
      </c>
      <c r="C3" s="51" t="s">
        <v>1</v>
      </c>
      <c r="D3" s="51" t="s">
        <v>3</v>
      </c>
      <c r="E3" s="51" t="s">
        <v>211</v>
      </c>
      <c r="F3" s="51" t="s">
        <v>212</v>
      </c>
      <c r="G3" s="51" t="s">
        <v>213</v>
      </c>
      <c r="H3" s="51" t="s">
        <v>143</v>
      </c>
      <c r="I3" s="51" t="s">
        <v>144</v>
      </c>
      <c r="J3" s="51" t="s">
        <v>9</v>
      </c>
      <c r="K3" s="51" t="s">
        <v>66</v>
      </c>
      <c r="L3" s="51" t="s">
        <v>145</v>
      </c>
      <c r="M3" s="51" t="s">
        <v>146</v>
      </c>
    </row>
    <row r="4" spans="1:13" x14ac:dyDescent="0.2">
      <c r="A4" s="1">
        <v>1</v>
      </c>
      <c r="B4" s="1">
        <v>1001</v>
      </c>
      <c r="C4" s="1" t="s">
        <v>214</v>
      </c>
      <c r="D4" s="1" t="s">
        <v>221</v>
      </c>
      <c r="E4" s="1">
        <v>10</v>
      </c>
      <c r="F4" s="1">
        <v>5</v>
      </c>
      <c r="G4" s="1">
        <v>5</v>
      </c>
      <c r="H4" s="1">
        <v>49</v>
      </c>
      <c r="I4" s="50">
        <v>58</v>
      </c>
      <c r="J4" s="1">
        <f>SUM(E4:I4)</f>
        <v>127</v>
      </c>
      <c r="K4" s="1">
        <f>J4/200*100</f>
        <v>63.5</v>
      </c>
      <c r="L4" s="1" t="str">
        <f>IF(K4&gt;=60,"FIRST",IF(K4&gt;=45,"SECOND",IF(K4&gt;=36,"THIRD")))</f>
        <v>FIRST</v>
      </c>
      <c r="M4" s="1" t="str">
        <f>IF(K4&gt;=36,"PASS","FAIL")</f>
        <v>PASS</v>
      </c>
    </row>
    <row r="5" spans="1:13" x14ac:dyDescent="0.2">
      <c r="A5" s="1">
        <v>2</v>
      </c>
      <c r="B5" s="1">
        <v>1002</v>
      </c>
      <c r="C5" s="1" t="s">
        <v>215</v>
      </c>
      <c r="D5" s="1" t="s">
        <v>222</v>
      </c>
      <c r="E5" s="1">
        <v>10</v>
      </c>
      <c r="F5" s="1">
        <v>2</v>
      </c>
      <c r="G5" s="1">
        <v>5</v>
      </c>
      <c r="H5" s="1">
        <v>17</v>
      </c>
      <c r="I5" s="1">
        <v>34</v>
      </c>
      <c r="J5" s="1">
        <f t="shared" ref="J5:J23" si="0">SUM(E5:I5)</f>
        <v>68</v>
      </c>
      <c r="K5" s="1">
        <f t="shared" ref="K5:K23" si="1">J5/200*100</f>
        <v>34</v>
      </c>
      <c r="L5" s="81" t="b">
        <f t="shared" ref="L5:L23" si="2">IF(K5&gt;=60,"FIRST",IF(K5&gt;=45,"SECOND",IF(K5&gt;=36,"THIRD")))</f>
        <v>0</v>
      </c>
      <c r="M5" s="81" t="str">
        <f t="shared" ref="M5:M23" si="3">IF(K5&gt;=36,"PASS","FAIL")</f>
        <v>FAIL</v>
      </c>
    </row>
    <row r="6" spans="1:13" x14ac:dyDescent="0.2">
      <c r="A6" s="1">
        <v>3</v>
      </c>
      <c r="B6" s="1">
        <v>1003</v>
      </c>
      <c r="C6" s="1" t="s">
        <v>216</v>
      </c>
      <c r="D6" s="1" t="s">
        <v>223</v>
      </c>
      <c r="E6" s="1">
        <v>6</v>
      </c>
      <c r="F6" s="1">
        <v>5</v>
      </c>
      <c r="G6" s="1">
        <v>3</v>
      </c>
      <c r="H6" s="1">
        <v>32</v>
      </c>
      <c r="I6" s="1">
        <v>29</v>
      </c>
      <c r="J6" s="1">
        <f t="shared" si="0"/>
        <v>75</v>
      </c>
      <c r="K6" s="1">
        <f t="shared" si="1"/>
        <v>37.5</v>
      </c>
      <c r="L6" s="81" t="str">
        <f t="shared" si="2"/>
        <v>THIRD</v>
      </c>
      <c r="M6" s="81" t="str">
        <f t="shared" si="3"/>
        <v>PASS</v>
      </c>
    </row>
    <row r="7" spans="1:13" x14ac:dyDescent="0.2">
      <c r="A7" s="1">
        <v>4</v>
      </c>
      <c r="B7" s="1">
        <v>1004</v>
      </c>
      <c r="C7" s="1" t="s">
        <v>217</v>
      </c>
      <c r="D7" s="1" t="s">
        <v>224</v>
      </c>
      <c r="E7" s="1">
        <v>8</v>
      </c>
      <c r="F7" s="1">
        <v>3</v>
      </c>
      <c r="G7" s="1">
        <v>3</v>
      </c>
      <c r="H7" s="1">
        <v>58</v>
      </c>
      <c r="I7" s="1">
        <v>64</v>
      </c>
      <c r="J7" s="1">
        <f t="shared" si="0"/>
        <v>136</v>
      </c>
      <c r="K7" s="1">
        <f t="shared" si="1"/>
        <v>68</v>
      </c>
      <c r="L7" s="81" t="str">
        <f t="shared" si="2"/>
        <v>FIRST</v>
      </c>
      <c r="M7" s="81" t="str">
        <f t="shared" si="3"/>
        <v>PASS</v>
      </c>
    </row>
    <row r="8" spans="1:13" x14ac:dyDescent="0.2">
      <c r="A8" s="1">
        <v>5</v>
      </c>
      <c r="B8" s="1">
        <v>1005</v>
      </c>
      <c r="C8" s="1" t="s">
        <v>217</v>
      </c>
      <c r="D8" s="1" t="s">
        <v>76</v>
      </c>
      <c r="E8" s="1">
        <v>6</v>
      </c>
      <c r="F8" s="1">
        <v>1</v>
      </c>
      <c r="G8" s="1">
        <v>4</v>
      </c>
      <c r="H8" s="1">
        <v>52</v>
      </c>
      <c r="I8" s="1">
        <v>72</v>
      </c>
      <c r="J8" s="1">
        <f t="shared" si="0"/>
        <v>135</v>
      </c>
      <c r="K8" s="1">
        <f t="shared" si="1"/>
        <v>67.5</v>
      </c>
      <c r="L8" s="81" t="str">
        <f t="shared" si="2"/>
        <v>FIRST</v>
      </c>
      <c r="M8" s="81" t="str">
        <f t="shared" si="3"/>
        <v>PASS</v>
      </c>
    </row>
    <row r="9" spans="1:13" x14ac:dyDescent="0.2">
      <c r="A9" s="1">
        <v>6</v>
      </c>
      <c r="B9" s="1">
        <v>1006</v>
      </c>
      <c r="C9" s="1" t="s">
        <v>96</v>
      </c>
      <c r="D9" s="1" t="s">
        <v>225</v>
      </c>
      <c r="E9" s="1">
        <v>8</v>
      </c>
      <c r="F9" s="1">
        <v>2</v>
      </c>
      <c r="G9" s="1">
        <v>7</v>
      </c>
      <c r="H9" s="1">
        <v>55</v>
      </c>
      <c r="I9" s="1">
        <v>100</v>
      </c>
      <c r="J9" s="1">
        <f t="shared" si="0"/>
        <v>172</v>
      </c>
      <c r="K9" s="1">
        <f t="shared" si="1"/>
        <v>86</v>
      </c>
      <c r="L9" s="81" t="str">
        <f t="shared" si="2"/>
        <v>FIRST</v>
      </c>
      <c r="M9" s="81" t="str">
        <f t="shared" si="3"/>
        <v>PASS</v>
      </c>
    </row>
    <row r="10" spans="1:13" x14ac:dyDescent="0.2">
      <c r="A10" s="1">
        <v>7</v>
      </c>
      <c r="B10" s="1">
        <v>1007</v>
      </c>
      <c r="C10" s="1" t="s">
        <v>218</v>
      </c>
      <c r="D10" s="1" t="s">
        <v>226</v>
      </c>
      <c r="E10" s="1">
        <v>5</v>
      </c>
      <c r="F10" s="1">
        <v>5</v>
      </c>
      <c r="G10" s="1">
        <v>8</v>
      </c>
      <c r="H10" s="1">
        <v>2</v>
      </c>
      <c r="I10" s="1">
        <v>78</v>
      </c>
      <c r="J10" s="1">
        <f t="shared" si="0"/>
        <v>98</v>
      </c>
      <c r="K10" s="1">
        <f t="shared" si="1"/>
        <v>49</v>
      </c>
      <c r="L10" s="81" t="str">
        <f t="shared" si="2"/>
        <v>SECOND</v>
      </c>
      <c r="M10" s="81" t="str">
        <f t="shared" si="3"/>
        <v>PASS</v>
      </c>
    </row>
    <row r="11" spans="1:13" x14ac:dyDescent="0.2">
      <c r="A11" s="1">
        <v>8</v>
      </c>
      <c r="B11" s="1">
        <v>1008</v>
      </c>
      <c r="C11" s="1" t="s">
        <v>219</v>
      </c>
      <c r="D11" s="1" t="s">
        <v>227</v>
      </c>
      <c r="E11" s="1">
        <v>7</v>
      </c>
      <c r="F11" s="1">
        <v>10</v>
      </c>
      <c r="G11" s="1">
        <v>7</v>
      </c>
      <c r="H11" s="1">
        <v>59</v>
      </c>
      <c r="I11" s="1">
        <v>57</v>
      </c>
      <c r="J11" s="1">
        <f t="shared" si="0"/>
        <v>140</v>
      </c>
      <c r="K11" s="1">
        <f t="shared" si="1"/>
        <v>70</v>
      </c>
      <c r="L11" s="81" t="str">
        <f t="shared" si="2"/>
        <v>FIRST</v>
      </c>
      <c r="M11" s="81" t="str">
        <f t="shared" si="3"/>
        <v>PASS</v>
      </c>
    </row>
    <row r="12" spans="1:13" x14ac:dyDescent="0.2">
      <c r="A12" s="1">
        <v>9</v>
      </c>
      <c r="B12" s="1">
        <v>1009</v>
      </c>
      <c r="C12" s="1" t="s">
        <v>220</v>
      </c>
      <c r="D12" s="1" t="s">
        <v>222</v>
      </c>
      <c r="E12" s="1">
        <v>4</v>
      </c>
      <c r="F12" s="1">
        <v>5</v>
      </c>
      <c r="G12" s="1">
        <v>0</v>
      </c>
      <c r="H12" s="1">
        <v>70</v>
      </c>
      <c r="I12" s="1">
        <v>17</v>
      </c>
      <c r="J12" s="1">
        <f t="shared" si="0"/>
        <v>96</v>
      </c>
      <c r="K12" s="1">
        <f t="shared" si="1"/>
        <v>48</v>
      </c>
      <c r="L12" s="81" t="str">
        <f t="shared" si="2"/>
        <v>SECOND</v>
      </c>
      <c r="M12" s="81" t="str">
        <f t="shared" si="3"/>
        <v>PASS</v>
      </c>
    </row>
    <row r="13" spans="1:13" x14ac:dyDescent="0.2">
      <c r="A13" s="1">
        <v>10</v>
      </c>
      <c r="B13" s="1">
        <v>1010</v>
      </c>
      <c r="C13" s="1" t="s">
        <v>10</v>
      </c>
      <c r="D13" s="1" t="s">
        <v>10</v>
      </c>
      <c r="E13" s="1">
        <v>8</v>
      </c>
      <c r="F13" s="1">
        <v>6</v>
      </c>
      <c r="G13" s="1">
        <v>10</v>
      </c>
      <c r="H13" s="1">
        <v>38</v>
      </c>
      <c r="I13" s="1">
        <v>18</v>
      </c>
      <c r="J13" s="1">
        <f t="shared" si="0"/>
        <v>80</v>
      </c>
      <c r="K13" s="1">
        <f t="shared" si="1"/>
        <v>40</v>
      </c>
      <c r="L13" s="81" t="str">
        <f t="shared" si="2"/>
        <v>THIRD</v>
      </c>
      <c r="M13" s="81" t="str">
        <f t="shared" si="3"/>
        <v>PASS</v>
      </c>
    </row>
    <row r="14" spans="1:13" x14ac:dyDescent="0.2">
      <c r="A14" s="1">
        <v>11</v>
      </c>
      <c r="B14" s="1">
        <v>1011</v>
      </c>
      <c r="C14" s="1" t="s">
        <v>13</v>
      </c>
      <c r="D14" s="1" t="s">
        <v>13</v>
      </c>
      <c r="E14" s="1">
        <v>0</v>
      </c>
      <c r="F14" s="1">
        <v>4</v>
      </c>
      <c r="G14" s="1">
        <v>3</v>
      </c>
      <c r="H14" s="1">
        <v>12</v>
      </c>
      <c r="I14" s="1">
        <v>7</v>
      </c>
      <c r="J14" s="1">
        <f t="shared" si="0"/>
        <v>26</v>
      </c>
      <c r="K14" s="1">
        <f t="shared" si="1"/>
        <v>13</v>
      </c>
      <c r="L14" s="81" t="b">
        <f t="shared" si="2"/>
        <v>0</v>
      </c>
      <c r="M14" s="81" t="str">
        <f t="shared" si="3"/>
        <v>FAIL</v>
      </c>
    </row>
    <row r="15" spans="1:13" x14ac:dyDescent="0.2">
      <c r="A15" s="1">
        <v>12</v>
      </c>
      <c r="B15" s="1">
        <v>1012</v>
      </c>
      <c r="C15" s="1" t="s">
        <v>228</v>
      </c>
      <c r="D15" s="1" t="s">
        <v>228</v>
      </c>
      <c r="E15" s="1">
        <v>10</v>
      </c>
      <c r="F15" s="1">
        <v>4</v>
      </c>
      <c r="G15" s="1">
        <v>8</v>
      </c>
      <c r="H15" s="1">
        <v>29</v>
      </c>
      <c r="I15" s="1">
        <v>98</v>
      </c>
      <c r="J15" s="1">
        <f t="shared" si="0"/>
        <v>149</v>
      </c>
      <c r="K15" s="1">
        <f t="shared" si="1"/>
        <v>74.5</v>
      </c>
      <c r="L15" s="81" t="str">
        <f t="shared" si="2"/>
        <v>FIRST</v>
      </c>
      <c r="M15" s="81" t="str">
        <f t="shared" si="3"/>
        <v>PASS</v>
      </c>
    </row>
    <row r="16" spans="1:13" x14ac:dyDescent="0.2">
      <c r="A16" s="1">
        <v>13</v>
      </c>
      <c r="B16" s="1">
        <v>1013</v>
      </c>
      <c r="C16" s="1" t="s">
        <v>229</v>
      </c>
      <c r="D16" s="1" t="s">
        <v>229</v>
      </c>
      <c r="E16" s="1">
        <v>1</v>
      </c>
      <c r="F16" s="1">
        <v>5</v>
      </c>
      <c r="G16" s="1">
        <v>0</v>
      </c>
      <c r="H16" s="1">
        <v>20</v>
      </c>
      <c r="I16" s="1">
        <v>99</v>
      </c>
      <c r="J16" s="1">
        <f t="shared" si="0"/>
        <v>125</v>
      </c>
      <c r="K16" s="1">
        <f t="shared" si="1"/>
        <v>62.5</v>
      </c>
      <c r="L16" s="81" t="str">
        <f t="shared" si="2"/>
        <v>FIRST</v>
      </c>
      <c r="M16" s="81" t="str">
        <f t="shared" si="3"/>
        <v>PASS</v>
      </c>
    </row>
    <row r="17" spans="1:13" x14ac:dyDescent="0.2">
      <c r="A17" s="1">
        <v>14</v>
      </c>
      <c r="B17" s="1">
        <v>1014</v>
      </c>
      <c r="C17" s="1" t="s">
        <v>230</v>
      </c>
      <c r="D17" s="1" t="s">
        <v>230</v>
      </c>
      <c r="E17" s="1">
        <v>9</v>
      </c>
      <c r="F17" s="1">
        <v>3</v>
      </c>
      <c r="G17" s="1">
        <v>1</v>
      </c>
      <c r="H17" s="1">
        <v>63</v>
      </c>
      <c r="I17" s="1">
        <v>80</v>
      </c>
      <c r="J17" s="1">
        <f t="shared" si="0"/>
        <v>156</v>
      </c>
      <c r="K17" s="1">
        <f t="shared" si="1"/>
        <v>78</v>
      </c>
      <c r="L17" s="81" t="str">
        <f t="shared" si="2"/>
        <v>FIRST</v>
      </c>
      <c r="M17" s="81" t="str">
        <f t="shared" si="3"/>
        <v>PASS</v>
      </c>
    </row>
    <row r="18" spans="1:13" x14ac:dyDescent="0.2">
      <c r="A18" s="1">
        <v>15</v>
      </c>
      <c r="B18" s="1">
        <v>1015</v>
      </c>
      <c r="C18" s="1" t="s">
        <v>231</v>
      </c>
      <c r="D18" s="1" t="s">
        <v>231</v>
      </c>
      <c r="E18" s="1">
        <v>8</v>
      </c>
      <c r="F18" s="1">
        <v>4</v>
      </c>
      <c r="G18" s="1">
        <v>10</v>
      </c>
      <c r="H18" s="1">
        <v>57</v>
      </c>
      <c r="I18" s="1">
        <v>89</v>
      </c>
      <c r="J18" s="1">
        <f t="shared" si="0"/>
        <v>168</v>
      </c>
      <c r="K18" s="1">
        <f t="shared" si="1"/>
        <v>84</v>
      </c>
      <c r="L18" s="81" t="str">
        <f t="shared" si="2"/>
        <v>FIRST</v>
      </c>
      <c r="M18" s="81" t="str">
        <f t="shared" si="3"/>
        <v>PASS</v>
      </c>
    </row>
    <row r="19" spans="1:13" x14ac:dyDescent="0.2">
      <c r="A19" s="1">
        <v>16</v>
      </c>
      <c r="B19" s="1">
        <v>1016</v>
      </c>
      <c r="C19" s="1" t="s">
        <v>232</v>
      </c>
      <c r="D19" s="1" t="s">
        <v>232</v>
      </c>
      <c r="E19" s="1">
        <v>2</v>
      </c>
      <c r="F19" s="1">
        <v>1</v>
      </c>
      <c r="G19" s="1">
        <v>0</v>
      </c>
      <c r="H19" s="1">
        <v>59</v>
      </c>
      <c r="I19" s="1">
        <v>64</v>
      </c>
      <c r="J19" s="1">
        <f t="shared" si="0"/>
        <v>126</v>
      </c>
      <c r="K19" s="1">
        <f t="shared" si="1"/>
        <v>63</v>
      </c>
      <c r="L19" s="81" t="str">
        <f t="shared" si="2"/>
        <v>FIRST</v>
      </c>
      <c r="M19" s="81" t="str">
        <f t="shared" si="3"/>
        <v>PASS</v>
      </c>
    </row>
    <row r="20" spans="1:13" x14ac:dyDescent="0.2">
      <c r="A20" s="1">
        <v>17</v>
      </c>
      <c r="B20" s="1">
        <v>1017</v>
      </c>
      <c r="C20" s="1" t="s">
        <v>233</v>
      </c>
      <c r="D20" s="1" t="s">
        <v>233</v>
      </c>
      <c r="E20" s="1">
        <v>3</v>
      </c>
      <c r="F20" s="1">
        <v>7</v>
      </c>
      <c r="G20" s="1">
        <v>3</v>
      </c>
      <c r="H20" s="1">
        <v>45</v>
      </c>
      <c r="I20" s="1">
        <v>9</v>
      </c>
      <c r="J20" s="1">
        <f t="shared" si="0"/>
        <v>67</v>
      </c>
      <c r="K20" s="1">
        <f t="shared" si="1"/>
        <v>33.5</v>
      </c>
      <c r="L20" s="81" t="b">
        <f t="shared" si="2"/>
        <v>0</v>
      </c>
      <c r="M20" s="81" t="str">
        <f t="shared" si="3"/>
        <v>FAIL</v>
      </c>
    </row>
    <row r="21" spans="1:13" x14ac:dyDescent="0.2">
      <c r="A21" s="1">
        <v>18</v>
      </c>
      <c r="B21" s="1">
        <v>1018</v>
      </c>
      <c r="C21" s="1" t="s">
        <v>234</v>
      </c>
      <c r="D21" s="1" t="s">
        <v>234</v>
      </c>
      <c r="E21" s="1">
        <v>4</v>
      </c>
      <c r="F21" s="1">
        <v>1</v>
      </c>
      <c r="G21" s="1">
        <v>6</v>
      </c>
      <c r="H21" s="1">
        <v>59</v>
      </c>
      <c r="I21" s="1">
        <v>67</v>
      </c>
      <c r="J21" s="1">
        <f t="shared" si="0"/>
        <v>137</v>
      </c>
      <c r="K21" s="1">
        <f t="shared" si="1"/>
        <v>68.5</v>
      </c>
      <c r="L21" s="81" t="str">
        <f t="shared" si="2"/>
        <v>FIRST</v>
      </c>
      <c r="M21" s="81" t="str">
        <f t="shared" si="3"/>
        <v>PASS</v>
      </c>
    </row>
    <row r="22" spans="1:13" x14ac:dyDescent="0.2">
      <c r="A22" s="1">
        <v>19</v>
      </c>
      <c r="B22" s="1">
        <v>1019</v>
      </c>
      <c r="C22" s="1" t="s">
        <v>235</v>
      </c>
      <c r="D22" s="1" t="s">
        <v>235</v>
      </c>
      <c r="E22" s="1">
        <v>0</v>
      </c>
      <c r="F22" s="1">
        <v>2</v>
      </c>
      <c r="G22" s="1">
        <v>3</v>
      </c>
      <c r="H22" s="1">
        <v>14</v>
      </c>
      <c r="I22" s="1">
        <v>49</v>
      </c>
      <c r="J22" s="1">
        <f t="shared" si="0"/>
        <v>68</v>
      </c>
      <c r="K22" s="1">
        <f t="shared" si="1"/>
        <v>34</v>
      </c>
      <c r="L22" s="81" t="b">
        <f t="shared" si="2"/>
        <v>0</v>
      </c>
      <c r="M22" s="81" t="str">
        <f t="shared" si="3"/>
        <v>FAIL</v>
      </c>
    </row>
    <row r="23" spans="1:13" x14ac:dyDescent="0.2">
      <c r="A23" s="1">
        <v>20</v>
      </c>
      <c r="B23" s="1">
        <v>1020</v>
      </c>
      <c r="C23" s="1" t="s">
        <v>236</v>
      </c>
      <c r="D23" s="1" t="s">
        <v>236</v>
      </c>
      <c r="E23" s="1">
        <v>0</v>
      </c>
      <c r="F23" s="1">
        <v>9</v>
      </c>
      <c r="G23" s="1">
        <v>10</v>
      </c>
      <c r="H23" s="1">
        <v>55</v>
      </c>
      <c r="I23" s="1">
        <v>70</v>
      </c>
      <c r="J23" s="1">
        <f t="shared" si="0"/>
        <v>144</v>
      </c>
      <c r="K23" s="1">
        <f t="shared" si="1"/>
        <v>72</v>
      </c>
      <c r="L23" s="81" t="str">
        <f t="shared" si="2"/>
        <v>FIRST</v>
      </c>
      <c r="M23" s="81" t="str">
        <f t="shared" si="3"/>
        <v>PASS</v>
      </c>
    </row>
    <row r="27" spans="1:13" x14ac:dyDescent="0.2">
      <c r="E27" s="99" t="s">
        <v>276</v>
      </c>
      <c r="F27" s="99"/>
      <c r="G27" s="99"/>
      <c r="H27" s="99"/>
      <c r="I27" s="99"/>
    </row>
    <row r="28" spans="1:13" x14ac:dyDescent="0.2">
      <c r="E28" s="100" t="s">
        <v>275</v>
      </c>
      <c r="F28" s="100"/>
      <c r="G28" s="100"/>
      <c r="H28" s="100"/>
      <c r="I28" s="100"/>
    </row>
    <row r="29" spans="1:13" x14ac:dyDescent="0.2">
      <c r="E29" s="1" t="s">
        <v>4</v>
      </c>
      <c r="F29" s="1" t="s">
        <v>7</v>
      </c>
      <c r="G29" s="1"/>
      <c r="H29" s="1"/>
      <c r="I29" s="1"/>
    </row>
    <row r="30" spans="1:13" x14ac:dyDescent="0.2">
      <c r="E30" s="1">
        <v>75</v>
      </c>
      <c r="F30" s="1">
        <v>76</v>
      </c>
      <c r="G30" s="1" t="b">
        <f>AND(E30&gt;60,F30&gt;50)</f>
        <v>1</v>
      </c>
      <c r="H30" s="1"/>
      <c r="I30" s="1" t="b">
        <f>AND(E30&gt;50,F30&gt;50)</f>
        <v>1</v>
      </c>
    </row>
    <row r="31" spans="1:13" x14ac:dyDescent="0.2">
      <c r="E31" s="1">
        <v>30</v>
      </c>
      <c r="F31" s="1">
        <v>61</v>
      </c>
      <c r="G31" s="1" t="b">
        <f t="shared" ref="G31:G36" si="4">AND(E31&gt;60,F31&gt;50)</f>
        <v>0</v>
      </c>
      <c r="H31" s="1"/>
      <c r="I31" s="81" t="b">
        <f t="shared" ref="I31:I36" si="5">AND(E31&gt;50,F31&gt;50)</f>
        <v>0</v>
      </c>
    </row>
    <row r="32" spans="1:13" x14ac:dyDescent="0.2">
      <c r="E32" s="1">
        <v>21</v>
      </c>
      <c r="F32" s="1">
        <v>84</v>
      </c>
      <c r="G32" s="1" t="b">
        <f t="shared" si="4"/>
        <v>0</v>
      </c>
      <c r="H32" s="1"/>
      <c r="I32" s="81" t="b">
        <f t="shared" si="5"/>
        <v>0</v>
      </c>
    </row>
    <row r="33" spans="5:9" x14ac:dyDescent="0.2">
      <c r="E33" s="1">
        <v>69</v>
      </c>
      <c r="F33" s="1">
        <v>72</v>
      </c>
      <c r="G33" s="1" t="b">
        <f t="shared" si="4"/>
        <v>1</v>
      </c>
      <c r="H33" s="1"/>
      <c r="I33" s="81" t="b">
        <f t="shared" si="5"/>
        <v>1</v>
      </c>
    </row>
    <row r="34" spans="5:9" x14ac:dyDescent="0.2">
      <c r="E34" s="1">
        <v>9</v>
      </c>
      <c r="F34" s="1">
        <v>64</v>
      </c>
      <c r="G34" s="1" t="b">
        <f t="shared" si="4"/>
        <v>0</v>
      </c>
      <c r="H34" s="1"/>
      <c r="I34" s="81" t="b">
        <f t="shared" si="5"/>
        <v>0</v>
      </c>
    </row>
    <row r="35" spans="5:9" x14ac:dyDescent="0.2">
      <c r="E35" s="1">
        <v>55</v>
      </c>
      <c r="F35" s="1">
        <v>87</v>
      </c>
      <c r="G35" s="1" t="b">
        <f t="shared" si="4"/>
        <v>0</v>
      </c>
      <c r="H35" s="1"/>
      <c r="I35" s="81" t="b">
        <f t="shared" si="5"/>
        <v>1</v>
      </c>
    </row>
    <row r="36" spans="5:9" x14ac:dyDescent="0.2">
      <c r="E36" s="1">
        <v>81</v>
      </c>
      <c r="F36" s="1">
        <v>77</v>
      </c>
      <c r="G36" s="1" t="b">
        <f t="shared" si="4"/>
        <v>1</v>
      </c>
      <c r="H36" s="1"/>
      <c r="I36" s="81" t="b">
        <f t="shared" si="5"/>
        <v>1</v>
      </c>
    </row>
  </sheetData>
  <mergeCells count="4">
    <mergeCell ref="A1:M1"/>
    <mergeCell ref="A2:M2"/>
    <mergeCell ref="E27:I27"/>
    <mergeCell ref="E28:I2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"/>
  <sheetViews>
    <sheetView zoomScale="145" zoomScaleNormal="145" workbookViewId="0">
      <selection activeCell="D10" sqref="D10"/>
    </sheetView>
  </sheetViews>
  <sheetFormatPr defaultRowHeight="15" x14ac:dyDescent="0.2"/>
  <cols>
    <col min="1" max="1" width="10.22265625" bestFit="1" customWidth="1"/>
    <col min="2" max="2" width="14.2578125" bestFit="1" customWidth="1"/>
    <col min="3" max="3" width="39.01171875" bestFit="1" customWidth="1"/>
    <col min="4" max="4" width="20.84765625" customWidth="1"/>
    <col min="5" max="5" width="12.23828125" bestFit="1" customWidth="1"/>
    <col min="6" max="6" width="10.22265625" bestFit="1" customWidth="1"/>
  </cols>
  <sheetData>
    <row r="1" spans="1:8" ht="25.5" x14ac:dyDescent="0.2">
      <c r="A1" s="1">
        <v>1</v>
      </c>
      <c r="B1" s="1" t="s">
        <v>147</v>
      </c>
      <c r="C1" s="74" t="s">
        <v>153</v>
      </c>
      <c r="D1" s="1" t="str">
        <f>CLEAN(C1)</f>
        <v>computer</v>
      </c>
    </row>
    <row r="2" spans="1:8" ht="21" x14ac:dyDescent="0.2">
      <c r="A2" s="1">
        <v>2</v>
      </c>
      <c r="B2" s="1" t="s">
        <v>148</v>
      </c>
      <c r="C2" s="75" t="s">
        <v>67</v>
      </c>
      <c r="D2" s="81" t="str">
        <f>LOWER(C2)</f>
        <v>computer</v>
      </c>
    </row>
    <row r="3" spans="1:8" ht="21" x14ac:dyDescent="0.2">
      <c r="A3" s="1">
        <v>3</v>
      </c>
      <c r="B3" s="1" t="s">
        <v>149</v>
      </c>
      <c r="C3" s="76" t="s">
        <v>153</v>
      </c>
      <c r="D3" s="81" t="str">
        <f>UPPER(C3)</f>
        <v>COMPUTER</v>
      </c>
    </row>
    <row r="4" spans="1:8" ht="21" x14ac:dyDescent="0.2">
      <c r="A4" s="1">
        <v>4</v>
      </c>
      <c r="B4" s="1" t="s">
        <v>150</v>
      </c>
      <c r="C4" s="77" t="s">
        <v>206</v>
      </c>
      <c r="D4" s="81" t="str">
        <f>PROPER(C4)</f>
        <v>Computer</v>
      </c>
    </row>
    <row r="5" spans="1:8" ht="21" x14ac:dyDescent="0.2">
      <c r="A5" s="1">
        <v>5</v>
      </c>
      <c r="B5" s="1" t="s">
        <v>151</v>
      </c>
      <c r="C5" s="78" t="s">
        <v>153</v>
      </c>
      <c r="D5" s="81" t="str">
        <f>RIGHT(C5,3)</f>
        <v>ter</v>
      </c>
    </row>
    <row r="6" spans="1:8" ht="21" x14ac:dyDescent="0.2">
      <c r="A6" s="1">
        <v>6</v>
      </c>
      <c r="B6" s="1" t="s">
        <v>152</v>
      </c>
      <c r="C6" s="79" t="s">
        <v>153</v>
      </c>
      <c r="D6" s="81" t="str">
        <f>LEFT(C6,3)</f>
        <v>com</v>
      </c>
    </row>
    <row r="7" spans="1:8" ht="21" x14ac:dyDescent="0.2">
      <c r="A7" s="1">
        <v>7</v>
      </c>
      <c r="B7" s="1" t="s">
        <v>277</v>
      </c>
      <c r="C7" s="79" t="s">
        <v>286</v>
      </c>
      <c r="D7" s="81" t="str">
        <f>MID(C7,5,4)</f>
        <v>RANA</v>
      </c>
    </row>
    <row r="8" spans="1:8" ht="21" x14ac:dyDescent="0.2">
      <c r="A8" s="1">
        <v>8</v>
      </c>
      <c r="B8" s="1" t="s">
        <v>278</v>
      </c>
      <c r="C8" s="79" t="s">
        <v>37</v>
      </c>
      <c r="D8" s="81" t="str">
        <f>REPT(C8,4)</f>
        <v>RAMRAMRAMRAM</v>
      </c>
      <c r="F8" t="s">
        <v>298</v>
      </c>
      <c r="G8" t="s">
        <v>67</v>
      </c>
      <c r="H8" t="s">
        <v>280</v>
      </c>
    </row>
    <row r="9" spans="1:8" ht="21" x14ac:dyDescent="0.2">
      <c r="A9" s="1">
        <v>9</v>
      </c>
      <c r="B9" s="1" t="s">
        <v>279</v>
      </c>
      <c r="C9" s="79" t="str">
        <f>CONCATENATE(E9," ",F9," ",G9)</f>
        <v xml:space="preserve"> MAHA RANA</v>
      </c>
      <c r="D9" s="81" t="str">
        <f>CONCATENATE(F9," ",G9," ",H9)</f>
        <v>MAHA RANA PRATAP</v>
      </c>
      <c r="F9" t="s">
        <v>299</v>
      </c>
      <c r="G9" t="s">
        <v>300</v>
      </c>
      <c r="H9" t="s">
        <v>301</v>
      </c>
    </row>
    <row r="10" spans="1:8" ht="21" x14ac:dyDescent="0.2">
      <c r="A10" s="1">
        <v>10</v>
      </c>
      <c r="B10" s="1" t="s">
        <v>281</v>
      </c>
      <c r="C10" s="82">
        <v>17394</v>
      </c>
      <c r="D10" s="81" t="str">
        <f>TEXT(C10,"DDDD")</f>
        <v>Friday</v>
      </c>
    </row>
    <row r="13" spans="1:8" x14ac:dyDescent="0.2">
      <c r="A13" s="101" t="s">
        <v>90</v>
      </c>
      <c r="B13" s="101"/>
      <c r="C13" s="101"/>
      <c r="E13" s="101" t="s">
        <v>103</v>
      </c>
      <c r="F13" s="101"/>
    </row>
    <row r="14" spans="1:8" x14ac:dyDescent="0.2">
      <c r="A14" s="26" t="s">
        <v>91</v>
      </c>
      <c r="B14" s="26"/>
      <c r="C14" s="26" t="str">
        <f t="shared" ref="C14:C29" si="0">UPPER(A14)</f>
        <v>RAM</v>
      </c>
      <c r="E14" s="26" t="s">
        <v>37</v>
      </c>
      <c r="F14" s="26" t="str">
        <f>LOWER(E14)</f>
        <v>ram</v>
      </c>
    </row>
    <row r="15" spans="1:8" x14ac:dyDescent="0.2">
      <c r="A15" s="26" t="s">
        <v>92</v>
      </c>
      <c r="B15" s="26"/>
      <c r="C15" s="26" t="str">
        <f t="shared" si="0"/>
        <v>KISHAN</v>
      </c>
      <c r="E15" s="26" t="s">
        <v>38</v>
      </c>
      <c r="F15" s="26" t="str">
        <f t="shared" ref="F15:F29" si="1">LOWER(E15)</f>
        <v>kishan</v>
      </c>
    </row>
    <row r="16" spans="1:8" x14ac:dyDescent="0.2">
      <c r="A16" s="26" t="s">
        <v>39</v>
      </c>
      <c r="B16" s="26"/>
      <c r="C16" s="26" t="str">
        <f t="shared" si="0"/>
        <v>MOHAN</v>
      </c>
      <c r="E16" s="26" t="s">
        <v>39</v>
      </c>
      <c r="F16" s="26" t="str">
        <f t="shared" si="1"/>
        <v>mohan</v>
      </c>
    </row>
    <row r="17" spans="1:6" x14ac:dyDescent="0.2">
      <c r="A17" s="26" t="s">
        <v>93</v>
      </c>
      <c r="B17" s="26"/>
      <c r="C17" s="26" t="str">
        <f t="shared" si="0"/>
        <v>RADHA</v>
      </c>
      <c r="E17" s="26" t="s">
        <v>40</v>
      </c>
      <c r="F17" s="26" t="str">
        <f t="shared" si="1"/>
        <v>radha</v>
      </c>
    </row>
    <row r="18" spans="1:6" x14ac:dyDescent="0.2">
      <c r="A18" s="26" t="s">
        <v>94</v>
      </c>
      <c r="B18" s="26"/>
      <c r="C18" s="26" t="str">
        <f t="shared" si="0"/>
        <v>SANGITA</v>
      </c>
      <c r="E18" s="26" t="s">
        <v>41</v>
      </c>
      <c r="F18" s="26" t="str">
        <f t="shared" si="1"/>
        <v>sangita</v>
      </c>
    </row>
    <row r="19" spans="1:6" x14ac:dyDescent="0.2">
      <c r="A19" s="26" t="s">
        <v>42</v>
      </c>
      <c r="B19" s="26"/>
      <c r="C19" s="26" t="str">
        <f t="shared" si="0"/>
        <v>KAMAL</v>
      </c>
      <c r="E19" s="26" t="s">
        <v>42</v>
      </c>
      <c r="F19" s="26" t="str">
        <f t="shared" si="1"/>
        <v>kamal</v>
      </c>
    </row>
    <row r="20" spans="1:6" x14ac:dyDescent="0.2">
      <c r="A20" s="26" t="s">
        <v>43</v>
      </c>
      <c r="B20" s="26"/>
      <c r="C20" s="26" t="str">
        <f t="shared" si="0"/>
        <v>KISHOR</v>
      </c>
      <c r="E20" s="26" t="s">
        <v>43</v>
      </c>
      <c r="F20" s="26" t="str">
        <f t="shared" si="1"/>
        <v>kishor</v>
      </c>
    </row>
    <row r="21" spans="1:6" x14ac:dyDescent="0.2">
      <c r="A21" s="26" t="s">
        <v>95</v>
      </c>
      <c r="B21" s="26"/>
      <c r="C21" s="26" t="str">
        <f t="shared" si="0"/>
        <v>RAMESH</v>
      </c>
      <c r="E21" s="26" t="s">
        <v>95</v>
      </c>
      <c r="F21" s="26" t="str">
        <f t="shared" si="1"/>
        <v>ramesh</v>
      </c>
    </row>
    <row r="22" spans="1:6" x14ac:dyDescent="0.2">
      <c r="A22" s="26" t="s">
        <v>78</v>
      </c>
      <c r="B22" s="26"/>
      <c r="C22" s="26" t="str">
        <f t="shared" si="0"/>
        <v>IMRAN</v>
      </c>
      <c r="E22" s="26" t="s">
        <v>78</v>
      </c>
      <c r="F22" s="26" t="str">
        <f t="shared" si="1"/>
        <v>imran</v>
      </c>
    </row>
    <row r="23" spans="1:6" x14ac:dyDescent="0.2">
      <c r="A23" s="26" t="s">
        <v>96</v>
      </c>
      <c r="B23" s="26"/>
      <c r="C23" s="26" t="str">
        <f t="shared" si="0"/>
        <v>JAGDISH</v>
      </c>
      <c r="E23" s="26" t="s">
        <v>96</v>
      </c>
      <c r="F23" s="26" t="str">
        <f t="shared" si="1"/>
        <v>jagdish</v>
      </c>
    </row>
    <row r="24" spans="1:6" x14ac:dyDescent="0.2">
      <c r="A24" s="26" t="s">
        <v>97</v>
      </c>
      <c r="B24" s="26"/>
      <c r="C24" s="26" t="str">
        <f t="shared" si="0"/>
        <v>UGAM RAJ</v>
      </c>
      <c r="E24" s="26" t="s">
        <v>70</v>
      </c>
      <c r="F24" s="26" t="str">
        <f t="shared" si="1"/>
        <v>ugam raj</v>
      </c>
    </row>
    <row r="25" spans="1:6" x14ac:dyDescent="0.2">
      <c r="A25" s="26" t="s">
        <v>98</v>
      </c>
      <c r="B25" s="26"/>
      <c r="C25" s="26" t="str">
        <f t="shared" si="0"/>
        <v>SULTAN</v>
      </c>
      <c r="E25" s="26" t="s">
        <v>87</v>
      </c>
      <c r="F25" s="26" t="str">
        <f t="shared" si="1"/>
        <v>sultan</v>
      </c>
    </row>
    <row r="26" spans="1:6" x14ac:dyDescent="0.2">
      <c r="A26" s="26" t="s">
        <v>99</v>
      </c>
      <c r="B26" s="26"/>
      <c r="C26" s="26" t="str">
        <f t="shared" si="0"/>
        <v>PRAKASH</v>
      </c>
      <c r="E26" s="26" t="s">
        <v>26</v>
      </c>
      <c r="F26" s="26" t="str">
        <f t="shared" si="1"/>
        <v>prakash</v>
      </c>
    </row>
    <row r="27" spans="1:6" x14ac:dyDescent="0.2">
      <c r="A27" s="26" t="s">
        <v>100</v>
      </c>
      <c r="B27" s="26"/>
      <c r="C27" s="26" t="str">
        <f t="shared" si="0"/>
        <v>BHALLA RAM</v>
      </c>
      <c r="E27" s="26" t="s">
        <v>104</v>
      </c>
      <c r="F27" s="26" t="str">
        <f t="shared" si="1"/>
        <v>bhalla ram</v>
      </c>
    </row>
    <row r="28" spans="1:6" x14ac:dyDescent="0.2">
      <c r="A28" s="26" t="s">
        <v>101</v>
      </c>
      <c r="B28" s="26"/>
      <c r="C28" s="26" t="str">
        <f t="shared" si="0"/>
        <v>YASIN</v>
      </c>
      <c r="E28" s="26" t="s">
        <v>105</v>
      </c>
      <c r="F28" s="26" t="str">
        <f t="shared" si="1"/>
        <v>yasin</v>
      </c>
    </row>
    <row r="29" spans="1:6" x14ac:dyDescent="0.2">
      <c r="A29" s="26" t="s">
        <v>102</v>
      </c>
      <c r="B29" s="26"/>
      <c r="C29" s="26" t="str">
        <f t="shared" si="0"/>
        <v>FIROJ</v>
      </c>
      <c r="E29" s="26" t="s">
        <v>106</v>
      </c>
      <c r="F29" s="26" t="str">
        <f t="shared" si="1"/>
        <v>firoj</v>
      </c>
    </row>
  </sheetData>
  <mergeCells count="2">
    <mergeCell ref="A13:C13"/>
    <mergeCell ref="E13:F13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zoomScale="250" zoomScaleNormal="250" workbookViewId="0">
      <selection activeCell="B8" sqref="B8"/>
    </sheetView>
  </sheetViews>
  <sheetFormatPr defaultRowHeight="15" x14ac:dyDescent="0.2"/>
  <cols>
    <col min="2" max="2" width="16.140625" bestFit="1" customWidth="1"/>
    <col min="3" max="3" width="10.76171875" bestFit="1" customWidth="1"/>
  </cols>
  <sheetData>
    <row r="1" spans="1:2" x14ac:dyDescent="0.2">
      <c r="B1" s="32">
        <v>44602</v>
      </c>
    </row>
    <row r="3" spans="1:2" x14ac:dyDescent="0.2">
      <c r="A3" s="33" t="s">
        <v>57</v>
      </c>
      <c r="B3" s="26">
        <f>DAY(B1)</f>
        <v>10</v>
      </c>
    </row>
    <row r="4" spans="1:2" x14ac:dyDescent="0.2">
      <c r="A4" s="33" t="s">
        <v>154</v>
      </c>
      <c r="B4" s="26">
        <f>MONTH(B1)</f>
        <v>2</v>
      </c>
    </row>
    <row r="5" spans="1:2" x14ac:dyDescent="0.2">
      <c r="A5" s="33" t="s">
        <v>58</v>
      </c>
      <c r="B5" s="26">
        <f>YEAR(B1)</f>
        <v>2022</v>
      </c>
    </row>
    <row r="6" spans="1:2" x14ac:dyDescent="0.2">
      <c r="A6" s="33" t="s">
        <v>155</v>
      </c>
      <c r="B6" s="30">
        <f ca="1">TODAY()</f>
        <v>45541</v>
      </c>
    </row>
    <row r="7" spans="1:2" x14ac:dyDescent="0.2">
      <c r="A7" s="33" t="s">
        <v>156</v>
      </c>
      <c r="B7" s="31">
        <f ca="1">NOW()</f>
        <v>45541.634316782409</v>
      </c>
    </row>
    <row r="8" spans="1:2" x14ac:dyDescent="0.2">
      <c r="A8" s="83" t="s">
        <v>282</v>
      </c>
      <c r="B8" s="30">
        <f>DATE(2022,2,10)</f>
        <v>44602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2"/>
  <sheetViews>
    <sheetView zoomScale="130" zoomScaleNormal="130" workbookViewId="0">
      <selection activeCell="J17" sqref="J17"/>
    </sheetView>
  </sheetViews>
  <sheetFormatPr defaultRowHeight="15" x14ac:dyDescent="0.2"/>
  <cols>
    <col min="4" max="4" width="11.1640625" bestFit="1" customWidth="1"/>
    <col min="6" max="9" width="12.64453125" customWidth="1"/>
    <col min="10" max="10" width="23.40625" customWidth="1"/>
  </cols>
  <sheetData>
    <row r="1" spans="1:10" ht="21" x14ac:dyDescent="0.3">
      <c r="A1" s="27" t="s">
        <v>1</v>
      </c>
      <c r="B1" s="27" t="s">
        <v>108</v>
      </c>
      <c r="C1" s="27" t="s">
        <v>109</v>
      </c>
      <c r="D1" s="27" t="s">
        <v>55</v>
      </c>
      <c r="F1" s="102" t="s">
        <v>283</v>
      </c>
      <c r="G1" s="102"/>
      <c r="H1" s="102"/>
      <c r="I1" s="102"/>
    </row>
    <row r="2" spans="1:10" x14ac:dyDescent="0.2">
      <c r="A2" s="21" t="s">
        <v>37</v>
      </c>
      <c r="B2" s="21" t="s">
        <v>118</v>
      </c>
      <c r="C2" s="21">
        <v>12</v>
      </c>
      <c r="D2" s="21" t="s">
        <v>120</v>
      </c>
      <c r="F2" s="22" t="s">
        <v>1</v>
      </c>
      <c r="G2" s="22" t="s">
        <v>108</v>
      </c>
      <c r="H2" s="22" t="s">
        <v>109</v>
      </c>
      <c r="I2" s="22" t="s">
        <v>55</v>
      </c>
    </row>
    <row r="3" spans="1:10" x14ac:dyDescent="0.2">
      <c r="A3" s="21" t="s">
        <v>38</v>
      </c>
      <c r="B3" s="21" t="s">
        <v>118</v>
      </c>
      <c r="C3" s="21">
        <v>48</v>
      </c>
      <c r="D3" s="21" t="s">
        <v>121</v>
      </c>
      <c r="F3" s="63" t="s">
        <v>113</v>
      </c>
      <c r="G3" s="63"/>
      <c r="H3" s="63"/>
      <c r="I3" s="63" t="str">
        <f>VLOOKUP(F3,A1:D20,4,FALSE)</f>
        <v>LUDO</v>
      </c>
    </row>
    <row r="4" spans="1:10" x14ac:dyDescent="0.2">
      <c r="A4" s="21" t="s">
        <v>87</v>
      </c>
      <c r="B4" s="21" t="s">
        <v>118</v>
      </c>
      <c r="C4" s="21">
        <v>52</v>
      </c>
      <c r="D4" s="21" t="s">
        <v>122</v>
      </c>
      <c r="F4" s="63"/>
      <c r="G4" s="63"/>
      <c r="H4" s="63"/>
      <c r="I4" s="63"/>
    </row>
    <row r="5" spans="1:10" x14ac:dyDescent="0.2">
      <c r="A5" s="21" t="s">
        <v>40</v>
      </c>
      <c r="B5" s="21" t="s">
        <v>119</v>
      </c>
      <c r="C5" s="21">
        <v>47</v>
      </c>
      <c r="D5" s="21" t="s">
        <v>123</v>
      </c>
      <c r="F5" s="63"/>
      <c r="G5" s="63"/>
      <c r="H5" s="63"/>
      <c r="I5" s="63"/>
    </row>
    <row r="6" spans="1:10" x14ac:dyDescent="0.2">
      <c r="A6" s="21" t="s">
        <v>41</v>
      </c>
      <c r="B6" s="21" t="s">
        <v>119</v>
      </c>
      <c r="C6" s="21">
        <v>52</v>
      </c>
      <c r="D6" s="21" t="s">
        <v>124</v>
      </c>
      <c r="F6" s="63"/>
      <c r="G6" s="63"/>
      <c r="H6" s="63"/>
      <c r="I6" s="63"/>
    </row>
    <row r="7" spans="1:10" x14ac:dyDescent="0.2">
      <c r="A7" s="21" t="s">
        <v>42</v>
      </c>
      <c r="B7" s="21" t="s">
        <v>118</v>
      </c>
      <c r="C7" s="21">
        <v>30</v>
      </c>
      <c r="D7" s="21" t="s">
        <v>122</v>
      </c>
      <c r="F7" s="63"/>
      <c r="G7" s="63"/>
      <c r="H7" s="63"/>
      <c r="I7" s="63"/>
    </row>
    <row r="8" spans="1:10" x14ac:dyDescent="0.2">
      <c r="A8" s="21" t="s">
        <v>43</v>
      </c>
      <c r="B8" s="21" t="s">
        <v>118</v>
      </c>
      <c r="C8" s="21">
        <v>25</v>
      </c>
      <c r="D8" s="21" t="s">
        <v>120</v>
      </c>
    </row>
    <row r="9" spans="1:10" x14ac:dyDescent="0.2">
      <c r="A9" s="21" t="s">
        <v>110</v>
      </c>
      <c r="B9" s="21" t="s">
        <v>119</v>
      </c>
      <c r="C9" s="21">
        <v>42</v>
      </c>
      <c r="D9" s="21" t="s">
        <v>125</v>
      </c>
    </row>
    <row r="10" spans="1:10" x14ac:dyDescent="0.2">
      <c r="A10" s="21" t="s">
        <v>75</v>
      </c>
      <c r="B10" s="21" t="s">
        <v>119</v>
      </c>
      <c r="C10" s="21">
        <v>52</v>
      </c>
      <c r="D10" s="21" t="s">
        <v>125</v>
      </c>
    </row>
    <row r="11" spans="1:10" ht="21" x14ac:dyDescent="0.3">
      <c r="A11" s="21" t="s">
        <v>111</v>
      </c>
      <c r="B11" s="21" t="s">
        <v>119</v>
      </c>
      <c r="C11" s="21">
        <v>14</v>
      </c>
      <c r="D11" s="21" t="s">
        <v>124</v>
      </c>
      <c r="F11" s="102" t="s">
        <v>284</v>
      </c>
      <c r="G11" s="102"/>
      <c r="H11" s="102"/>
      <c r="I11" s="102"/>
    </row>
    <row r="12" spans="1:10" x14ac:dyDescent="0.2">
      <c r="A12" s="21" t="s">
        <v>40</v>
      </c>
      <c r="B12" s="21" t="s">
        <v>119</v>
      </c>
      <c r="C12" s="21">
        <v>25</v>
      </c>
      <c r="D12" s="21" t="s">
        <v>122</v>
      </c>
      <c r="F12" s="28" t="s">
        <v>61</v>
      </c>
      <c r="G12" s="28" t="s">
        <v>1</v>
      </c>
    </row>
    <row r="13" spans="1:10" x14ac:dyDescent="0.2">
      <c r="A13" s="21" t="s">
        <v>26</v>
      </c>
      <c r="B13" s="21" t="s">
        <v>118</v>
      </c>
      <c r="C13" s="21">
        <v>42</v>
      </c>
      <c r="D13" s="21" t="s">
        <v>121</v>
      </c>
      <c r="F13" s="26">
        <v>1</v>
      </c>
      <c r="G13" s="21" t="s">
        <v>111</v>
      </c>
    </row>
    <row r="14" spans="1:10" x14ac:dyDescent="0.2">
      <c r="A14" s="21" t="s">
        <v>112</v>
      </c>
      <c r="B14" s="21" t="s">
        <v>118</v>
      </c>
      <c r="C14" s="21">
        <v>10</v>
      </c>
      <c r="D14" s="21" t="s">
        <v>67</v>
      </c>
      <c r="F14" s="26">
        <v>2</v>
      </c>
      <c r="G14" s="21" t="s">
        <v>40</v>
      </c>
      <c r="I14" s="103" t="s">
        <v>284</v>
      </c>
      <c r="J14" s="103"/>
    </row>
    <row r="15" spans="1:10" x14ac:dyDescent="0.2">
      <c r="A15" s="21" t="s">
        <v>113</v>
      </c>
      <c r="B15" s="21" t="s">
        <v>118</v>
      </c>
      <c r="C15" s="21">
        <v>25</v>
      </c>
      <c r="D15" s="21" t="s">
        <v>126</v>
      </c>
      <c r="F15" s="26">
        <v>3</v>
      </c>
      <c r="G15" s="21" t="s">
        <v>26</v>
      </c>
    </row>
    <row r="16" spans="1:10" x14ac:dyDescent="0.2">
      <c r="A16" s="21" t="s">
        <v>72</v>
      </c>
      <c r="B16" s="21" t="s">
        <v>118</v>
      </c>
      <c r="C16" s="21">
        <v>36</v>
      </c>
      <c r="D16" s="21" t="s">
        <v>127</v>
      </c>
      <c r="F16" s="26">
        <v>4</v>
      </c>
      <c r="G16" s="21" t="s">
        <v>112</v>
      </c>
      <c r="I16" s="42" t="s">
        <v>1</v>
      </c>
    </row>
    <row r="17" spans="1:10" x14ac:dyDescent="0.2">
      <c r="A17" s="21" t="s">
        <v>114</v>
      </c>
      <c r="B17" s="21" t="s">
        <v>118</v>
      </c>
      <c r="C17" s="21">
        <v>52</v>
      </c>
      <c r="D17" s="21" t="s">
        <v>124</v>
      </c>
      <c r="F17" s="26">
        <v>5</v>
      </c>
      <c r="G17" s="21" t="s">
        <v>113</v>
      </c>
      <c r="I17" t="s">
        <v>40</v>
      </c>
      <c r="J17" s="53">
        <f>MATCH(I17,G13:G22,0)</f>
        <v>2</v>
      </c>
    </row>
    <row r="18" spans="1:10" x14ac:dyDescent="0.2">
      <c r="A18" s="21" t="s">
        <v>115</v>
      </c>
      <c r="B18" s="21" t="s">
        <v>119</v>
      </c>
      <c r="C18" s="21">
        <v>41</v>
      </c>
      <c r="D18" s="21" t="s">
        <v>122</v>
      </c>
      <c r="F18" s="26">
        <v>6</v>
      </c>
      <c r="G18" s="21" t="s">
        <v>72</v>
      </c>
    </row>
    <row r="19" spans="1:10" x14ac:dyDescent="0.2">
      <c r="A19" s="21" t="s">
        <v>116</v>
      </c>
      <c r="B19" s="21" t="s">
        <v>119</v>
      </c>
      <c r="C19" s="21">
        <v>25</v>
      </c>
      <c r="D19" s="21" t="s">
        <v>121</v>
      </c>
      <c r="F19" s="26">
        <v>7</v>
      </c>
      <c r="G19" s="21" t="s">
        <v>114</v>
      </c>
    </row>
    <row r="20" spans="1:10" x14ac:dyDescent="0.2">
      <c r="A20" s="21" t="s">
        <v>117</v>
      </c>
      <c r="B20" s="21" t="s">
        <v>119</v>
      </c>
      <c r="C20" s="21">
        <v>20</v>
      </c>
      <c r="D20" s="21" t="s">
        <v>120</v>
      </c>
      <c r="F20" s="26">
        <v>8</v>
      </c>
      <c r="G20" s="21" t="s">
        <v>115</v>
      </c>
    </row>
    <row r="21" spans="1:10" x14ac:dyDescent="0.2">
      <c r="F21" s="26">
        <v>9</v>
      </c>
      <c r="G21" s="21" t="s">
        <v>116</v>
      </c>
    </row>
    <row r="22" spans="1:10" x14ac:dyDescent="0.2">
      <c r="F22" s="26">
        <v>10</v>
      </c>
      <c r="G22" s="28" t="s">
        <v>254</v>
      </c>
    </row>
  </sheetData>
  <mergeCells count="3">
    <mergeCell ref="F1:I1"/>
    <mergeCell ref="F11:I11"/>
    <mergeCell ref="I14:J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I43"/>
  <sheetViews>
    <sheetView zoomScale="145" zoomScaleNormal="145" workbookViewId="0">
      <selection activeCell="I3" sqref="I3"/>
    </sheetView>
  </sheetViews>
  <sheetFormatPr defaultRowHeight="15" x14ac:dyDescent="0.2"/>
  <cols>
    <col min="2" max="2" width="9.953125" bestFit="1" customWidth="1"/>
    <col min="3" max="3" width="14.66015625" bestFit="1" customWidth="1"/>
    <col min="5" max="5" width="11.02734375" customWidth="1"/>
    <col min="9" max="9" width="14.796875" bestFit="1" customWidth="1"/>
  </cols>
  <sheetData>
    <row r="3" spans="2:9" x14ac:dyDescent="0.2">
      <c r="E3" s="34" t="s">
        <v>157</v>
      </c>
      <c r="F3" s="34" t="s">
        <v>158</v>
      </c>
      <c r="G3" s="34" t="s">
        <v>159</v>
      </c>
      <c r="H3" s="34" t="s">
        <v>160</v>
      </c>
      <c r="I3" s="34" t="s">
        <v>161</v>
      </c>
    </row>
    <row r="4" spans="2:9" x14ac:dyDescent="0.2">
      <c r="B4" t="s">
        <v>162</v>
      </c>
      <c r="C4" s="46" t="s">
        <v>157</v>
      </c>
      <c r="D4" s="47">
        <v>-32</v>
      </c>
      <c r="E4" s="21">
        <f>ABS(D4)</f>
        <v>32</v>
      </c>
      <c r="F4" s="21">
        <f>EVEN(D4)</f>
        <v>-32</v>
      </c>
      <c r="G4" s="21">
        <f>ODD(D4)</f>
        <v>-33</v>
      </c>
      <c r="H4" s="35">
        <f ca="1">RAND()</f>
        <v>0.72536460347644038</v>
      </c>
      <c r="I4" s="21">
        <f ca="1">RANDBETWEEN(0,100)</f>
        <v>50</v>
      </c>
    </row>
    <row r="5" spans="2:9" x14ac:dyDescent="0.2">
      <c r="C5" s="46" t="s">
        <v>158</v>
      </c>
      <c r="D5" s="47">
        <v>98</v>
      </c>
      <c r="E5" s="21">
        <f t="shared" ref="E5:E15" si="0">ABS(D5)</f>
        <v>98</v>
      </c>
      <c r="F5" s="21">
        <f t="shared" ref="F5:F15" si="1">EVEN(D5)</f>
        <v>98</v>
      </c>
      <c r="G5" s="21">
        <f t="shared" ref="G5:G15" si="2">ODD(D5)</f>
        <v>99</v>
      </c>
      <c r="H5" s="35">
        <f t="shared" ref="H5:H15" ca="1" si="3">RAND()</f>
        <v>0.21455149295408926</v>
      </c>
      <c r="I5" s="21">
        <f t="shared" ref="I5:I15" ca="1" si="4">RANDBETWEEN(0,100)</f>
        <v>79</v>
      </c>
    </row>
    <row r="6" spans="2:9" x14ac:dyDescent="0.2">
      <c r="C6" s="46" t="s">
        <v>159</v>
      </c>
      <c r="D6" s="52">
        <v>-31</v>
      </c>
      <c r="E6" s="21">
        <f t="shared" si="0"/>
        <v>31</v>
      </c>
      <c r="F6" s="21">
        <f t="shared" si="1"/>
        <v>-32</v>
      </c>
      <c r="G6" s="21">
        <f t="shared" si="2"/>
        <v>-31</v>
      </c>
      <c r="H6" s="35">
        <f t="shared" ca="1" si="3"/>
        <v>0.11218908159968599</v>
      </c>
      <c r="I6" s="21">
        <f t="shared" ca="1" si="4"/>
        <v>10</v>
      </c>
    </row>
    <row r="7" spans="2:9" x14ac:dyDescent="0.2">
      <c r="C7" s="46" t="s">
        <v>160</v>
      </c>
      <c r="D7" s="47">
        <v>-90</v>
      </c>
      <c r="E7" s="21">
        <f t="shared" si="0"/>
        <v>90</v>
      </c>
      <c r="F7" s="21">
        <f t="shared" si="1"/>
        <v>-90</v>
      </c>
      <c r="G7" s="21">
        <f t="shared" si="2"/>
        <v>-91</v>
      </c>
      <c r="H7" s="35">
        <f t="shared" ca="1" si="3"/>
        <v>0.841798202348505</v>
      </c>
      <c r="I7" s="21">
        <f t="shared" ca="1" si="4"/>
        <v>58</v>
      </c>
    </row>
    <row r="8" spans="2:9" x14ac:dyDescent="0.2">
      <c r="C8" s="46" t="s">
        <v>161</v>
      </c>
      <c r="D8" s="47">
        <v>-80</v>
      </c>
      <c r="E8" s="21">
        <f t="shared" si="0"/>
        <v>80</v>
      </c>
      <c r="F8" s="21">
        <f t="shared" si="1"/>
        <v>-80</v>
      </c>
      <c r="G8" s="21">
        <f t="shared" si="2"/>
        <v>-81</v>
      </c>
      <c r="H8" s="35">
        <f t="shared" ca="1" si="3"/>
        <v>0.66920156620086058</v>
      </c>
      <c r="I8" s="21">
        <f t="shared" ca="1" si="4"/>
        <v>15</v>
      </c>
    </row>
    <row r="9" spans="2:9" x14ac:dyDescent="0.2">
      <c r="D9" s="47">
        <v>61</v>
      </c>
      <c r="E9" s="21">
        <f t="shared" si="0"/>
        <v>61</v>
      </c>
      <c r="F9" s="21">
        <f t="shared" si="1"/>
        <v>62</v>
      </c>
      <c r="G9" s="21">
        <f t="shared" si="2"/>
        <v>61</v>
      </c>
      <c r="H9" s="35">
        <f t="shared" ca="1" si="3"/>
        <v>8.4418568429633911E-4</v>
      </c>
      <c r="I9" s="21">
        <f t="shared" ca="1" si="4"/>
        <v>43</v>
      </c>
    </row>
    <row r="10" spans="2:9" x14ac:dyDescent="0.2">
      <c r="D10" s="47">
        <v>-97</v>
      </c>
      <c r="E10" s="21">
        <f t="shared" si="0"/>
        <v>97</v>
      </c>
      <c r="F10" s="21">
        <f t="shared" si="1"/>
        <v>-98</v>
      </c>
      <c r="G10" s="21">
        <f t="shared" si="2"/>
        <v>-97</v>
      </c>
      <c r="H10" s="35">
        <f t="shared" ca="1" si="3"/>
        <v>0.75222908737154159</v>
      </c>
      <c r="I10" s="21">
        <f t="shared" ca="1" si="4"/>
        <v>97</v>
      </c>
    </row>
    <row r="11" spans="2:9" x14ac:dyDescent="0.2">
      <c r="D11" s="47">
        <v>86</v>
      </c>
      <c r="E11" s="21">
        <f t="shared" si="0"/>
        <v>86</v>
      </c>
      <c r="F11" s="21">
        <f t="shared" si="1"/>
        <v>86</v>
      </c>
      <c r="G11" s="21">
        <f t="shared" si="2"/>
        <v>87</v>
      </c>
      <c r="H11" s="35">
        <f t="shared" ca="1" si="3"/>
        <v>0.52749274601454543</v>
      </c>
      <c r="I11" s="21">
        <f t="shared" ca="1" si="4"/>
        <v>37</v>
      </c>
    </row>
    <row r="12" spans="2:9" x14ac:dyDescent="0.2">
      <c r="D12" s="47">
        <v>92</v>
      </c>
      <c r="E12" s="21">
        <f t="shared" si="0"/>
        <v>92</v>
      </c>
      <c r="F12" s="21">
        <f t="shared" si="1"/>
        <v>92</v>
      </c>
      <c r="G12" s="21">
        <f t="shared" si="2"/>
        <v>93</v>
      </c>
      <c r="H12" s="35">
        <f t="shared" ca="1" si="3"/>
        <v>0.36522002223938421</v>
      </c>
      <c r="I12" s="21">
        <f t="shared" ca="1" si="4"/>
        <v>95</v>
      </c>
    </row>
    <row r="13" spans="2:9" x14ac:dyDescent="0.2">
      <c r="D13" s="47">
        <v>28</v>
      </c>
      <c r="E13" s="21">
        <f t="shared" si="0"/>
        <v>28</v>
      </c>
      <c r="F13" s="21">
        <f t="shared" si="1"/>
        <v>28</v>
      </c>
      <c r="G13" s="21">
        <f t="shared" si="2"/>
        <v>29</v>
      </c>
      <c r="H13" s="35">
        <f t="shared" ca="1" si="3"/>
        <v>0.62637655554036131</v>
      </c>
      <c r="I13" s="21">
        <f t="shared" ca="1" si="4"/>
        <v>79</v>
      </c>
    </row>
    <row r="14" spans="2:9" x14ac:dyDescent="0.2">
      <c r="D14" s="47">
        <v>-9</v>
      </c>
      <c r="E14" s="21">
        <f t="shared" si="0"/>
        <v>9</v>
      </c>
      <c r="F14" s="21">
        <f t="shared" si="1"/>
        <v>-10</v>
      </c>
      <c r="G14" s="21">
        <f t="shared" si="2"/>
        <v>-9</v>
      </c>
      <c r="H14" s="35">
        <f t="shared" ca="1" si="3"/>
        <v>0.57619238422286656</v>
      </c>
      <c r="I14" s="21">
        <f t="shared" ca="1" si="4"/>
        <v>1</v>
      </c>
    </row>
    <row r="15" spans="2:9" x14ac:dyDescent="0.2">
      <c r="D15" s="47">
        <v>84</v>
      </c>
      <c r="E15" s="21">
        <f t="shared" si="0"/>
        <v>84</v>
      </c>
      <c r="F15" s="21">
        <f t="shared" si="1"/>
        <v>84</v>
      </c>
      <c r="G15" s="21">
        <f t="shared" si="2"/>
        <v>85</v>
      </c>
      <c r="H15" s="35">
        <f t="shared" ca="1" si="3"/>
        <v>0.18752696846353045</v>
      </c>
      <c r="I15" s="21">
        <f t="shared" ca="1" si="4"/>
        <v>11</v>
      </c>
    </row>
    <row r="19" spans="5:8" x14ac:dyDescent="0.2">
      <c r="F19">
        <v>25</v>
      </c>
      <c r="G19">
        <f>EVEN(F19)</f>
        <v>26</v>
      </c>
      <c r="H19">
        <f>ODD(F19)</f>
        <v>25</v>
      </c>
    </row>
    <row r="20" spans="5:8" x14ac:dyDescent="0.2">
      <c r="F20">
        <v>362</v>
      </c>
      <c r="G20">
        <f t="shared" ref="G20:G29" si="5">EVEN(F20)</f>
        <v>362</v>
      </c>
      <c r="H20">
        <f t="shared" ref="H20:H29" si="6">ODD(F20)</f>
        <v>363</v>
      </c>
    </row>
    <row r="21" spans="5:8" x14ac:dyDescent="0.2">
      <c r="F21">
        <v>523</v>
      </c>
      <c r="G21">
        <f t="shared" si="5"/>
        <v>524</v>
      </c>
      <c r="H21">
        <f t="shared" si="6"/>
        <v>523</v>
      </c>
    </row>
    <row r="22" spans="5:8" x14ac:dyDescent="0.2">
      <c r="F22">
        <v>50</v>
      </c>
      <c r="G22">
        <f t="shared" si="5"/>
        <v>50</v>
      </c>
      <c r="H22">
        <f t="shared" si="6"/>
        <v>51</v>
      </c>
    </row>
    <row r="23" spans="5:8" x14ac:dyDescent="0.2">
      <c r="F23">
        <v>24</v>
      </c>
      <c r="G23">
        <f t="shared" si="5"/>
        <v>24</v>
      </c>
      <c r="H23">
        <f t="shared" si="6"/>
        <v>25</v>
      </c>
    </row>
    <row r="24" spans="5:8" x14ac:dyDescent="0.2">
      <c r="F24">
        <v>250</v>
      </c>
      <c r="G24">
        <f t="shared" si="5"/>
        <v>250</v>
      </c>
      <c r="H24">
        <f t="shared" si="6"/>
        <v>251</v>
      </c>
    </row>
    <row r="25" spans="5:8" x14ac:dyDescent="0.2">
      <c r="F25">
        <v>450</v>
      </c>
      <c r="G25">
        <f t="shared" si="5"/>
        <v>450</v>
      </c>
      <c r="H25">
        <f t="shared" si="6"/>
        <v>451</v>
      </c>
    </row>
    <row r="26" spans="5:8" x14ac:dyDescent="0.2">
      <c r="F26">
        <v>360</v>
      </c>
      <c r="G26">
        <f t="shared" si="5"/>
        <v>360</v>
      </c>
      <c r="H26">
        <f t="shared" si="6"/>
        <v>361</v>
      </c>
    </row>
    <row r="27" spans="5:8" x14ac:dyDescent="0.2">
      <c r="F27">
        <v>35</v>
      </c>
      <c r="G27">
        <f t="shared" si="5"/>
        <v>36</v>
      </c>
      <c r="H27">
        <f t="shared" si="6"/>
        <v>35</v>
      </c>
    </row>
    <row r="28" spans="5:8" x14ac:dyDescent="0.2">
      <c r="F28">
        <v>37</v>
      </c>
      <c r="G28">
        <f t="shared" si="5"/>
        <v>38</v>
      </c>
      <c r="H28">
        <f t="shared" si="6"/>
        <v>37</v>
      </c>
    </row>
    <row r="29" spans="5:8" x14ac:dyDescent="0.2">
      <c r="F29">
        <v>39</v>
      </c>
      <c r="G29">
        <f t="shared" si="5"/>
        <v>40</v>
      </c>
      <c r="H29">
        <f t="shared" si="6"/>
        <v>39</v>
      </c>
    </row>
    <row r="32" spans="5:8" x14ac:dyDescent="0.2">
      <c r="E32">
        <f ca="1">RANDBETWEEN(20,50)</f>
        <v>33</v>
      </c>
      <c r="G32">
        <f t="shared" ref="G32:G43" ca="1" si="7">RAND()*20</f>
        <v>5.9582370980084409</v>
      </c>
      <c r="H32">
        <f ca="1">RAND()+2</f>
        <v>2.2415082276040672</v>
      </c>
    </row>
    <row r="33" spans="5:9" x14ac:dyDescent="0.2">
      <c r="E33">
        <f t="shared" ref="E33:E38" ca="1" si="8">RANDBETWEEN(20,50)</f>
        <v>23</v>
      </c>
      <c r="G33">
        <f t="shared" ca="1" si="7"/>
        <v>13.212965461474761</v>
      </c>
      <c r="H33">
        <v>21</v>
      </c>
    </row>
    <row r="34" spans="5:9" x14ac:dyDescent="0.2">
      <c r="E34">
        <f t="shared" ca="1" si="8"/>
        <v>41</v>
      </c>
      <c r="G34">
        <f t="shared" ca="1" si="7"/>
        <v>14.961413349600075</v>
      </c>
      <c r="H34">
        <v>21</v>
      </c>
    </row>
    <row r="35" spans="5:9" x14ac:dyDescent="0.2">
      <c r="E35">
        <f t="shared" ca="1" si="8"/>
        <v>28</v>
      </c>
      <c r="G35">
        <f t="shared" ca="1" si="7"/>
        <v>15.803102403670142</v>
      </c>
      <c r="H35">
        <v>212</v>
      </c>
    </row>
    <row r="36" spans="5:9" x14ac:dyDescent="0.2">
      <c r="E36">
        <f t="shared" ca="1" si="8"/>
        <v>44</v>
      </c>
      <c r="G36">
        <f t="shared" ca="1" si="7"/>
        <v>2.3216973711298339</v>
      </c>
      <c r="H36">
        <v>21</v>
      </c>
    </row>
    <row r="37" spans="5:9" x14ac:dyDescent="0.2">
      <c r="E37">
        <f t="shared" ca="1" si="8"/>
        <v>20</v>
      </c>
      <c r="G37">
        <f t="shared" ca="1" si="7"/>
        <v>10.4123615278328</v>
      </c>
    </row>
    <row r="38" spans="5:9" x14ac:dyDescent="0.2">
      <c r="E38">
        <f t="shared" ca="1" si="8"/>
        <v>24</v>
      </c>
      <c r="G38">
        <f t="shared" ca="1" si="7"/>
        <v>7.7384295045409974</v>
      </c>
      <c r="I38">
        <v>20</v>
      </c>
    </row>
    <row r="39" spans="5:9" x14ac:dyDescent="0.2">
      <c r="G39">
        <f t="shared" ca="1" si="7"/>
        <v>6.126994518002606</v>
      </c>
      <c r="I39">
        <v>12</v>
      </c>
    </row>
    <row r="40" spans="5:9" x14ac:dyDescent="0.2">
      <c r="G40">
        <f t="shared" ca="1" si="7"/>
        <v>13.00873352029086</v>
      </c>
      <c r="I40">
        <v>320</v>
      </c>
    </row>
    <row r="41" spans="5:9" x14ac:dyDescent="0.2">
      <c r="G41">
        <f t="shared" ca="1" si="7"/>
        <v>4.4018883621076821</v>
      </c>
    </row>
    <row r="42" spans="5:9" x14ac:dyDescent="0.2">
      <c r="G42">
        <f t="shared" ca="1" si="7"/>
        <v>6.4620305842860404</v>
      </c>
    </row>
    <row r="43" spans="5:9" x14ac:dyDescent="0.2">
      <c r="G43">
        <f t="shared" ca="1" si="7"/>
        <v>15.652620796798685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B3:X32"/>
  <sheetViews>
    <sheetView topLeftCell="P1" zoomScale="175" zoomScaleNormal="175" workbookViewId="0">
      <selection activeCell="R19" sqref="R19"/>
    </sheetView>
  </sheetViews>
  <sheetFormatPr defaultColWidth="8.7421875" defaultRowHeight="15" x14ac:dyDescent="0.2"/>
  <cols>
    <col min="2" max="2" width="11.43359375" customWidth="1"/>
    <col min="3" max="3" width="6.45703125" customWidth="1"/>
    <col min="4" max="4" width="13.85546875" bestFit="1" customWidth="1"/>
    <col min="5" max="5" width="8.7421875" customWidth="1"/>
    <col min="6" max="6" width="6.58984375" bestFit="1" customWidth="1"/>
    <col min="8" max="8" width="6.58984375" bestFit="1" customWidth="1"/>
    <col min="10" max="10" width="4.4375" bestFit="1" customWidth="1"/>
    <col min="11" max="11" width="8.203125" bestFit="1" customWidth="1"/>
    <col min="13" max="13" width="11.02734375" bestFit="1" customWidth="1"/>
    <col min="14" max="14" width="12.23828125" customWidth="1"/>
    <col min="16" max="16" width="10.89453125" bestFit="1" customWidth="1"/>
    <col min="19" max="19" width="10.89453125" bestFit="1" customWidth="1"/>
    <col min="22" max="22" width="16.41015625" bestFit="1" customWidth="1"/>
    <col min="23" max="23" width="18.83203125" bestFit="1" customWidth="1"/>
  </cols>
  <sheetData>
    <row r="3" spans="2:24" x14ac:dyDescent="0.2">
      <c r="B3" s="62" t="s">
        <v>51</v>
      </c>
      <c r="C3" s="42"/>
      <c r="D3" s="9" t="s">
        <v>243</v>
      </c>
      <c r="E3" s="42"/>
      <c r="F3" s="22" t="s">
        <v>52</v>
      </c>
      <c r="G3" s="38"/>
      <c r="H3" s="22" t="s">
        <v>53</v>
      </c>
      <c r="J3" s="22" t="s">
        <v>165</v>
      </c>
      <c r="K3" s="22" t="s">
        <v>166</v>
      </c>
      <c r="M3" s="62" t="s">
        <v>166</v>
      </c>
      <c r="N3" s="62" t="s">
        <v>165</v>
      </c>
      <c r="P3" s="104" t="s">
        <v>163</v>
      </c>
      <c r="Q3" s="104"/>
      <c r="S3" s="103" t="s">
        <v>164</v>
      </c>
      <c r="T3" s="103"/>
      <c r="V3" s="104" t="s">
        <v>244</v>
      </c>
      <c r="W3" s="104"/>
      <c r="X3" s="104"/>
    </row>
    <row r="4" spans="2:24" x14ac:dyDescent="0.2">
      <c r="B4" s="21">
        <v>1584</v>
      </c>
      <c r="D4" s="39">
        <v>1792</v>
      </c>
      <c r="F4" s="39">
        <v>31612</v>
      </c>
      <c r="H4" s="39">
        <v>31612</v>
      </c>
      <c r="J4" s="1">
        <v>25</v>
      </c>
      <c r="K4" s="1" t="str">
        <f>DEC2BIN(J4)</f>
        <v>11001</v>
      </c>
      <c r="M4" s="21">
        <v>11001100</v>
      </c>
      <c r="N4" s="21">
        <f>BIN2DEC(M4)</f>
        <v>204</v>
      </c>
      <c r="P4" s="21" t="s">
        <v>167</v>
      </c>
      <c r="Q4" s="21" t="b">
        <f>ISTEXT(P4)</f>
        <v>1</v>
      </c>
      <c r="S4" s="1" t="s">
        <v>167</v>
      </c>
      <c r="T4" s="1" t="b">
        <f>ISBLANK(S4)</f>
        <v>0</v>
      </c>
      <c r="V4" s="71" t="s">
        <v>37</v>
      </c>
      <c r="W4" s="71" t="s">
        <v>37</v>
      </c>
      <c r="X4" s="71" t="b">
        <f>EXACT(V4,W4)</f>
        <v>1</v>
      </c>
    </row>
    <row r="5" spans="2:24" x14ac:dyDescent="0.2">
      <c r="B5" s="21">
        <v>4018</v>
      </c>
      <c r="D5" s="39">
        <v>6</v>
      </c>
      <c r="F5" s="39">
        <v>11492</v>
      </c>
      <c r="H5" s="39">
        <v>11492</v>
      </c>
      <c r="J5" s="1">
        <v>62</v>
      </c>
      <c r="K5" s="81" t="str">
        <f t="shared" ref="K5:K10" si="0">DEC2BIN(J5)</f>
        <v>111110</v>
      </c>
      <c r="M5" s="21">
        <v>110110101</v>
      </c>
      <c r="N5" s="21">
        <f t="shared" ref="N5:N10" si="1">BIN2DEC(M5)</f>
        <v>437</v>
      </c>
      <c r="P5" s="21">
        <v>2021</v>
      </c>
      <c r="Q5" s="21" t="b">
        <f t="shared" ref="Q5:Q10" si="2">ISTEXT(P5)</f>
        <v>0</v>
      </c>
      <c r="S5" s="1"/>
      <c r="T5" s="81" t="b">
        <f t="shared" ref="T5:T10" si="3">ISBLANK(S5)</f>
        <v>1</v>
      </c>
      <c r="V5" s="71" t="s">
        <v>38</v>
      </c>
      <c r="W5" s="71" t="s">
        <v>82</v>
      </c>
      <c r="X5" s="71" t="b">
        <f t="shared" ref="X5:X30" si="4">EXACT(V5,W5)</f>
        <v>0</v>
      </c>
    </row>
    <row r="6" spans="2:24" x14ac:dyDescent="0.2">
      <c r="B6" s="21">
        <v>4077</v>
      </c>
      <c r="D6" s="39">
        <v>1164</v>
      </c>
      <c r="F6" s="39">
        <v>28295</v>
      </c>
      <c r="H6" s="39">
        <v>28295</v>
      </c>
      <c r="J6" s="1">
        <v>48</v>
      </c>
      <c r="K6" s="81" t="str">
        <f t="shared" si="0"/>
        <v>110000</v>
      </c>
      <c r="M6" s="21">
        <v>10001</v>
      </c>
      <c r="N6" s="21">
        <f t="shared" si="1"/>
        <v>17</v>
      </c>
      <c r="P6" s="66">
        <v>44256</v>
      </c>
      <c r="Q6" s="21" t="b">
        <f t="shared" si="2"/>
        <v>0</v>
      </c>
      <c r="S6" s="67">
        <v>44256</v>
      </c>
      <c r="T6" s="81" t="b">
        <f t="shared" si="3"/>
        <v>0</v>
      </c>
      <c r="V6" s="71" t="s">
        <v>39</v>
      </c>
      <c r="W6" s="71" t="s">
        <v>39</v>
      </c>
      <c r="X6" s="71" t="b">
        <f t="shared" si="4"/>
        <v>1</v>
      </c>
    </row>
    <row r="7" spans="2:24" x14ac:dyDescent="0.2">
      <c r="B7" s="21">
        <v>2567</v>
      </c>
      <c r="D7" s="39">
        <v>876</v>
      </c>
      <c r="F7" s="39">
        <v>23279</v>
      </c>
      <c r="H7" s="39">
        <v>23279</v>
      </c>
      <c r="J7" s="1">
        <v>55</v>
      </c>
      <c r="K7" s="81" t="str">
        <f t="shared" si="0"/>
        <v>110111</v>
      </c>
      <c r="M7" s="21">
        <v>100110101</v>
      </c>
      <c r="N7" s="21">
        <f t="shared" si="1"/>
        <v>309</v>
      </c>
      <c r="P7" s="21" t="s">
        <v>168</v>
      </c>
      <c r="Q7" s="21" t="b">
        <f t="shared" si="2"/>
        <v>1</v>
      </c>
      <c r="S7" s="1" t="s">
        <v>168</v>
      </c>
      <c r="T7" s="81" t="b">
        <f t="shared" si="3"/>
        <v>0</v>
      </c>
      <c r="V7" s="71" t="s">
        <v>40</v>
      </c>
      <c r="W7" s="71" t="s">
        <v>40</v>
      </c>
      <c r="X7" s="71" t="b">
        <f t="shared" si="4"/>
        <v>1</v>
      </c>
    </row>
    <row r="8" spans="2:24" x14ac:dyDescent="0.2">
      <c r="B8" s="21">
        <v>578</v>
      </c>
      <c r="D8" s="39">
        <v>424</v>
      </c>
      <c r="F8" s="39">
        <v>40793</v>
      </c>
      <c r="H8" s="39">
        <v>40793</v>
      </c>
      <c r="J8" s="1">
        <v>79</v>
      </c>
      <c r="K8" s="81" t="str">
        <f t="shared" si="0"/>
        <v>1001111</v>
      </c>
      <c r="M8" s="21">
        <v>1001001</v>
      </c>
      <c r="N8" s="21">
        <f t="shared" si="1"/>
        <v>73</v>
      </c>
      <c r="P8" s="21" t="s">
        <v>169</v>
      </c>
      <c r="Q8" s="21" t="b">
        <f t="shared" si="2"/>
        <v>1</v>
      </c>
      <c r="S8" s="86" t="s">
        <v>298</v>
      </c>
      <c r="T8" s="81" t="b">
        <f t="shared" si="3"/>
        <v>0</v>
      </c>
      <c r="V8" s="71" t="s">
        <v>41</v>
      </c>
      <c r="W8" s="71" t="s">
        <v>41</v>
      </c>
      <c r="X8" s="71" t="b">
        <f t="shared" si="4"/>
        <v>1</v>
      </c>
    </row>
    <row r="9" spans="2:24" x14ac:dyDescent="0.2">
      <c r="B9" s="21">
        <v>4908</v>
      </c>
      <c r="D9" s="39"/>
      <c r="F9" s="39">
        <v>31797</v>
      </c>
      <c r="H9" s="39">
        <v>31797</v>
      </c>
      <c r="J9" s="1">
        <v>69</v>
      </c>
      <c r="K9" s="81" t="str">
        <f t="shared" si="0"/>
        <v>1000101</v>
      </c>
      <c r="M9" s="21">
        <v>10000001</v>
      </c>
      <c r="N9" s="21">
        <f t="shared" si="1"/>
        <v>129</v>
      </c>
      <c r="P9" s="21" t="s">
        <v>170</v>
      </c>
      <c r="Q9" s="21" t="b">
        <f t="shared" si="2"/>
        <v>1</v>
      </c>
      <c r="S9" s="1"/>
      <c r="T9" s="81" t="b">
        <f t="shared" si="3"/>
        <v>1</v>
      </c>
      <c r="V9" s="71" t="s">
        <v>42</v>
      </c>
      <c r="W9" s="71" t="s">
        <v>42</v>
      </c>
      <c r="X9" s="71" t="b">
        <f t="shared" si="4"/>
        <v>1</v>
      </c>
    </row>
    <row r="10" spans="2:24" x14ac:dyDescent="0.2">
      <c r="B10" s="21">
        <v>4667</v>
      </c>
      <c r="D10" s="39">
        <v>1888</v>
      </c>
      <c r="F10" s="39">
        <v>13813</v>
      </c>
      <c r="H10" s="39">
        <v>13813</v>
      </c>
      <c r="J10" s="1">
        <v>52</v>
      </c>
      <c r="K10" s="81" t="str">
        <f t="shared" si="0"/>
        <v>110100</v>
      </c>
      <c r="M10" s="21">
        <v>1001001001</v>
      </c>
      <c r="N10" s="21">
        <f t="shared" si="1"/>
        <v>-439</v>
      </c>
      <c r="P10" s="21" t="s">
        <v>171</v>
      </c>
      <c r="Q10" s="21" t="b">
        <f t="shared" si="2"/>
        <v>1</v>
      </c>
      <c r="S10" s="1" t="s">
        <v>171</v>
      </c>
      <c r="T10" s="81" t="b">
        <f t="shared" si="3"/>
        <v>0</v>
      </c>
      <c r="V10" s="71" t="s">
        <v>43</v>
      </c>
      <c r="W10" s="71" t="s">
        <v>43</v>
      </c>
      <c r="X10" s="71" t="b">
        <f t="shared" si="4"/>
        <v>1</v>
      </c>
    </row>
    <row r="11" spans="2:24" x14ac:dyDescent="0.2">
      <c r="B11" s="21">
        <v>2483</v>
      </c>
      <c r="D11" s="39"/>
      <c r="F11" s="39">
        <v>35451</v>
      </c>
      <c r="H11" s="39">
        <v>35451</v>
      </c>
      <c r="V11" s="71" t="s">
        <v>44</v>
      </c>
      <c r="W11" s="71" t="s">
        <v>44</v>
      </c>
      <c r="X11" s="71" t="b">
        <f t="shared" si="4"/>
        <v>1</v>
      </c>
    </row>
    <row r="12" spans="2:24" x14ac:dyDescent="0.2">
      <c r="B12" s="21">
        <v>3001</v>
      </c>
      <c r="D12" s="39">
        <v>383</v>
      </c>
      <c r="F12" s="39">
        <v>36142</v>
      </c>
      <c r="H12" s="39">
        <v>36142</v>
      </c>
      <c r="V12" s="71" t="s">
        <v>42</v>
      </c>
      <c r="W12" s="71" t="s">
        <v>83</v>
      </c>
      <c r="X12" s="71" t="b">
        <f t="shared" si="4"/>
        <v>0</v>
      </c>
    </row>
    <row r="13" spans="2:24" x14ac:dyDescent="0.2">
      <c r="B13" s="21">
        <v>1150</v>
      </c>
      <c r="D13" s="39">
        <v>1358</v>
      </c>
      <c r="F13" s="39">
        <v>17759</v>
      </c>
      <c r="H13" s="39">
        <v>17759</v>
      </c>
      <c r="V13" s="71" t="s">
        <v>68</v>
      </c>
      <c r="W13" s="71" t="s">
        <v>68</v>
      </c>
      <c r="X13" s="71" t="b">
        <f t="shared" si="4"/>
        <v>1</v>
      </c>
    </row>
    <row r="14" spans="2:24" x14ac:dyDescent="0.2">
      <c r="B14" s="21">
        <v>999</v>
      </c>
      <c r="D14" s="39">
        <v>203</v>
      </c>
      <c r="F14" s="39">
        <v>33554</v>
      </c>
      <c r="H14" s="39">
        <v>33554</v>
      </c>
      <c r="L14" s="105" t="s">
        <v>89</v>
      </c>
      <c r="M14" s="105"/>
      <c r="N14" s="105"/>
      <c r="P14" s="106" t="s">
        <v>107</v>
      </c>
      <c r="Q14" s="106"/>
      <c r="R14" s="106"/>
      <c r="S14" s="106"/>
      <c r="V14" s="71" t="s">
        <v>69</v>
      </c>
      <c r="W14" s="71" t="s">
        <v>69</v>
      </c>
      <c r="X14" s="71" t="b">
        <f t="shared" si="4"/>
        <v>1</v>
      </c>
    </row>
    <row r="15" spans="2:24" x14ac:dyDescent="0.2">
      <c r="B15" s="21">
        <v>1756</v>
      </c>
      <c r="D15" s="39">
        <v>1103</v>
      </c>
      <c r="F15" s="39">
        <v>39263</v>
      </c>
      <c r="H15" s="39">
        <v>39263</v>
      </c>
      <c r="L15" s="1" t="s">
        <v>61</v>
      </c>
      <c r="M15" s="1" t="s">
        <v>1</v>
      </c>
      <c r="N15" s="1" t="s">
        <v>88</v>
      </c>
      <c r="P15" s="72" t="s">
        <v>59</v>
      </c>
      <c r="Q15" s="72" t="s">
        <v>54</v>
      </c>
      <c r="R15" s="72" t="s">
        <v>56</v>
      </c>
      <c r="S15" s="72" t="s">
        <v>245</v>
      </c>
      <c r="V15" s="71" t="s">
        <v>70</v>
      </c>
      <c r="W15" s="71" t="s">
        <v>84</v>
      </c>
      <c r="X15" s="71" t="b">
        <f t="shared" si="4"/>
        <v>0</v>
      </c>
    </row>
    <row r="16" spans="2:24" hidden="1" x14ac:dyDescent="0.2">
      <c r="B16" s="21">
        <v>1568</v>
      </c>
      <c r="D16" s="39">
        <v>1067</v>
      </c>
      <c r="F16" s="39">
        <v>12963</v>
      </c>
      <c r="H16" s="39">
        <v>12963</v>
      </c>
      <c r="L16" s="1">
        <f ca="1">SUBTOTAL(3,$C16:M$29)</f>
        <v>1</v>
      </c>
      <c r="M16" s="1" t="s">
        <v>37</v>
      </c>
      <c r="N16" s="1">
        <v>59</v>
      </c>
      <c r="P16" s="21">
        <v>1650</v>
      </c>
      <c r="Q16" s="21">
        <v>7</v>
      </c>
      <c r="R16" s="21">
        <f>P16/Q16</f>
        <v>235.71428571428572</v>
      </c>
      <c r="S16" s="73"/>
      <c r="V16" s="71" t="s">
        <v>71</v>
      </c>
      <c r="W16" s="71" t="s">
        <v>71</v>
      </c>
      <c r="X16" s="71" t="b">
        <f t="shared" si="4"/>
        <v>1</v>
      </c>
    </row>
    <row r="17" spans="2:24" hidden="1" x14ac:dyDescent="0.2">
      <c r="B17">
        <f>COUNT(B4:B16)</f>
        <v>13</v>
      </c>
      <c r="D17">
        <f>COUNTBLANK(D4:D16)</f>
        <v>2</v>
      </c>
      <c r="L17" s="1">
        <f ca="1">SUBTOTAL(3,$C17:M$29)</f>
        <v>2</v>
      </c>
      <c r="M17" s="1" t="s">
        <v>38</v>
      </c>
      <c r="N17" s="1">
        <v>68</v>
      </c>
      <c r="P17" s="21">
        <v>2782</v>
      </c>
      <c r="Q17" s="21">
        <v>7</v>
      </c>
      <c r="R17" s="21">
        <f t="shared" ref="R17:R21" si="5">P17/Q17</f>
        <v>397.42857142857144</v>
      </c>
      <c r="S17" s="73"/>
      <c r="V17" s="71" t="s">
        <v>72</v>
      </c>
      <c r="W17" s="71" t="s">
        <v>72</v>
      </c>
      <c r="X17" s="71" t="b">
        <f t="shared" si="4"/>
        <v>1</v>
      </c>
    </row>
    <row r="18" spans="2:24" hidden="1" x14ac:dyDescent="0.2">
      <c r="L18" s="1">
        <f ca="1">SUBTOTAL(3,$C18:M$29)</f>
        <v>3</v>
      </c>
      <c r="M18" s="1" t="s">
        <v>39</v>
      </c>
      <c r="N18" s="1">
        <v>47</v>
      </c>
      <c r="P18" s="21">
        <v>3280</v>
      </c>
      <c r="Q18" s="21">
        <v>7</v>
      </c>
      <c r="R18" s="21">
        <f t="shared" si="5"/>
        <v>468.57142857142856</v>
      </c>
      <c r="S18" s="73"/>
      <c r="V18" s="71" t="s">
        <v>26</v>
      </c>
      <c r="W18" s="71" t="s">
        <v>85</v>
      </c>
      <c r="X18" s="71" t="b">
        <f t="shared" si="4"/>
        <v>0</v>
      </c>
    </row>
    <row r="19" spans="2:24" x14ac:dyDescent="0.2">
      <c r="B19" s="8" t="s">
        <v>287</v>
      </c>
      <c r="L19" s="1">
        <f ca="1">SUBTOTAL(3,$C19:M$29)</f>
        <v>4</v>
      </c>
      <c r="M19" s="1" t="s">
        <v>40</v>
      </c>
      <c r="N19" s="1">
        <v>18</v>
      </c>
      <c r="P19" s="21">
        <v>459</v>
      </c>
      <c r="Q19" s="21">
        <v>7</v>
      </c>
      <c r="R19" s="21">
        <f t="shared" si="5"/>
        <v>65.571428571428569</v>
      </c>
      <c r="S19" s="73">
        <f>ROUND(R19,0)</f>
        <v>66</v>
      </c>
      <c r="V19" s="71" t="s">
        <v>73</v>
      </c>
      <c r="W19" s="71" t="s">
        <v>73</v>
      </c>
      <c r="X19" s="71" t="b">
        <f t="shared" si="4"/>
        <v>1</v>
      </c>
    </row>
    <row r="20" spans="2:24" hidden="1" x14ac:dyDescent="0.2">
      <c r="B20" t="s">
        <v>1</v>
      </c>
      <c r="C20" t="s">
        <v>285</v>
      </c>
      <c r="L20" s="1">
        <f ca="1">SUBTOTAL(3,$C20:M$29)</f>
        <v>5</v>
      </c>
      <c r="M20" s="1" t="s">
        <v>37</v>
      </c>
      <c r="N20" s="1">
        <v>84</v>
      </c>
      <c r="P20" s="21">
        <v>2413</v>
      </c>
      <c r="Q20" s="21">
        <v>7</v>
      </c>
      <c r="R20" s="21">
        <f t="shared" si="5"/>
        <v>344.71428571428572</v>
      </c>
      <c r="S20" s="73"/>
      <c r="V20" s="71" t="s">
        <v>74</v>
      </c>
      <c r="W20" s="71" t="s">
        <v>74</v>
      </c>
      <c r="X20" s="71" t="b">
        <f t="shared" si="4"/>
        <v>1</v>
      </c>
    </row>
    <row r="21" spans="2:24" hidden="1" x14ac:dyDescent="0.2">
      <c r="L21" s="1">
        <f ca="1">SUBTOTAL(3,$C21:M$29)</f>
        <v>6</v>
      </c>
      <c r="M21" s="1" t="s">
        <v>38</v>
      </c>
      <c r="N21" s="1">
        <v>74</v>
      </c>
      <c r="P21" s="21">
        <v>1018</v>
      </c>
      <c r="Q21" s="21">
        <v>7</v>
      </c>
      <c r="R21" s="21">
        <f t="shared" si="5"/>
        <v>145.42857142857142</v>
      </c>
      <c r="S21" s="73"/>
      <c r="V21" s="71" t="s">
        <v>75</v>
      </c>
      <c r="W21" s="71" t="s">
        <v>86</v>
      </c>
      <c r="X21" s="71" t="b">
        <f t="shared" si="4"/>
        <v>0</v>
      </c>
    </row>
    <row r="22" spans="2:24" hidden="1" x14ac:dyDescent="0.2">
      <c r="B22" t="s">
        <v>38</v>
      </c>
      <c r="C22">
        <v>19968</v>
      </c>
      <c r="L22" s="1">
        <f ca="1">SUBTOTAL(3,$C22:M$29)</f>
        <v>7</v>
      </c>
      <c r="M22" s="1" t="s">
        <v>39</v>
      </c>
      <c r="N22" s="1">
        <v>22</v>
      </c>
      <c r="V22" s="71" t="s">
        <v>40</v>
      </c>
      <c r="W22" s="71" t="s">
        <v>40</v>
      </c>
      <c r="X22" s="71" t="b">
        <f t="shared" si="4"/>
        <v>1</v>
      </c>
    </row>
    <row r="23" spans="2:24" x14ac:dyDescent="0.2">
      <c r="B23" t="s">
        <v>288</v>
      </c>
      <c r="L23" s="1">
        <f ca="1">SUBTOTAL(3,$C23:M$29)</f>
        <v>8</v>
      </c>
      <c r="M23" s="1" t="s">
        <v>40</v>
      </c>
      <c r="N23" s="1">
        <v>61</v>
      </c>
      <c r="V23" s="71" t="s">
        <v>76</v>
      </c>
      <c r="W23" s="71" t="s">
        <v>76</v>
      </c>
      <c r="X23" s="71" t="b">
        <f t="shared" si="4"/>
        <v>1</v>
      </c>
    </row>
    <row r="24" spans="2:24" hidden="1" x14ac:dyDescent="0.2">
      <c r="B24" t="s">
        <v>40</v>
      </c>
      <c r="C24">
        <v>7182</v>
      </c>
      <c r="L24" s="1">
        <f ca="1">SUBTOTAL(3,$C24:M$29)</f>
        <v>9</v>
      </c>
      <c r="M24" s="1" t="s">
        <v>37</v>
      </c>
      <c r="N24" s="1">
        <v>34</v>
      </c>
      <c r="V24" s="71" t="s">
        <v>77</v>
      </c>
      <c r="W24" s="71" t="s">
        <v>77</v>
      </c>
      <c r="X24" s="71" t="b">
        <f t="shared" si="4"/>
        <v>1</v>
      </c>
    </row>
    <row r="25" spans="2:24" hidden="1" x14ac:dyDescent="0.2">
      <c r="B25" t="s">
        <v>41</v>
      </c>
      <c r="C25">
        <v>15846</v>
      </c>
      <c r="L25" s="1">
        <f ca="1">SUBTOTAL(3,$C25:M$29)</f>
        <v>10</v>
      </c>
      <c r="M25" s="1" t="s">
        <v>38</v>
      </c>
      <c r="N25" s="1">
        <v>74</v>
      </c>
      <c r="V25" s="71" t="s">
        <v>78</v>
      </c>
      <c r="W25" s="71" t="s">
        <v>78</v>
      </c>
      <c r="X25" s="71" t="b">
        <f t="shared" si="4"/>
        <v>1</v>
      </c>
    </row>
    <row r="26" spans="2:24" hidden="1" x14ac:dyDescent="0.2">
      <c r="C26">
        <v>15963</v>
      </c>
      <c r="L26" s="1">
        <f ca="1">SUBTOTAL(3,$C26:M$29)</f>
        <v>11</v>
      </c>
      <c r="M26" s="1" t="s">
        <v>39</v>
      </c>
      <c r="N26" s="1">
        <v>78</v>
      </c>
      <c r="V26" s="71" t="s">
        <v>79</v>
      </c>
      <c r="W26" s="71" t="s">
        <v>87</v>
      </c>
      <c r="X26" s="71" t="b">
        <f t="shared" si="4"/>
        <v>0</v>
      </c>
    </row>
    <row r="27" spans="2:24" x14ac:dyDescent="0.2">
      <c r="B27" t="s">
        <v>43</v>
      </c>
      <c r="C27">
        <v>30467</v>
      </c>
      <c r="L27" s="1">
        <f ca="1">SUBTOTAL(3,$C27:M$29)</f>
        <v>0</v>
      </c>
      <c r="M27" s="1" t="s">
        <v>40</v>
      </c>
      <c r="N27" s="1">
        <v>12</v>
      </c>
      <c r="V27" s="71" t="s">
        <v>80</v>
      </c>
      <c r="W27" s="71" t="s">
        <v>80</v>
      </c>
      <c r="X27" s="71" t="b">
        <f t="shared" si="4"/>
        <v>1</v>
      </c>
    </row>
    <row r="28" spans="2:24" hidden="1" x14ac:dyDescent="0.2">
      <c r="B28" t="s">
        <v>44</v>
      </c>
      <c r="C28">
        <v>49127</v>
      </c>
      <c r="L28" s="1">
        <f>SUBTOTAL(3,$C28:M$29)</f>
        <v>0</v>
      </c>
      <c r="M28" s="1" t="s">
        <v>37</v>
      </c>
      <c r="N28" s="1">
        <v>39</v>
      </c>
      <c r="V28" s="71" t="s">
        <v>10</v>
      </c>
      <c r="W28" s="71" t="s">
        <v>10</v>
      </c>
      <c r="X28" s="71" t="b">
        <f t="shared" si="4"/>
        <v>1</v>
      </c>
    </row>
    <row r="29" spans="2:24" hidden="1" x14ac:dyDescent="0.2">
      <c r="L29" s="1">
        <f>SUBTOTAL(3,$C$29:M29)</f>
        <v>0</v>
      </c>
      <c r="M29" s="1" t="s">
        <v>38</v>
      </c>
      <c r="N29" s="1">
        <v>58</v>
      </c>
      <c r="V29" s="71" t="s">
        <v>11</v>
      </c>
      <c r="W29" s="71" t="s">
        <v>11</v>
      </c>
      <c r="X29" s="71" t="b">
        <f t="shared" si="4"/>
        <v>1</v>
      </c>
    </row>
    <row r="30" spans="2:24" hidden="1" x14ac:dyDescent="0.2">
      <c r="B30">
        <f>COUNTA(B21:C28)</f>
        <v>12</v>
      </c>
      <c r="L30" s="1">
        <f>SUBTOTAL(3,$C$29:M30)</f>
        <v>0</v>
      </c>
      <c r="M30" s="1" t="s">
        <v>39</v>
      </c>
      <c r="N30" s="1">
        <v>98</v>
      </c>
      <c r="V30" s="71" t="s">
        <v>81</v>
      </c>
      <c r="W30" s="71" t="s">
        <v>81</v>
      </c>
      <c r="X30" s="71" t="b">
        <f t="shared" si="4"/>
        <v>1</v>
      </c>
    </row>
    <row r="31" spans="2:24" x14ac:dyDescent="0.2">
      <c r="L31" s="1">
        <f ca="1">SUBTOTAL(3,$C$29:M31)</f>
        <v>0</v>
      </c>
      <c r="M31" s="1" t="s">
        <v>40</v>
      </c>
      <c r="N31" s="1">
        <v>41</v>
      </c>
    </row>
    <row r="32" spans="2:24" x14ac:dyDescent="0.2">
      <c r="L32" s="7"/>
      <c r="M32" s="8" t="s">
        <v>9</v>
      </c>
      <c r="N32" s="25">
        <f>SUBTOTAL(9,N16:N31)</f>
        <v>132</v>
      </c>
    </row>
  </sheetData>
  <autoFilter ref="L15:N31" xr:uid="{00000000-0009-0000-0000-000008000000}">
    <filterColumn colId="1">
      <filters>
        <filter val="RADHA"/>
      </filters>
    </filterColumn>
  </autoFilter>
  <mergeCells count="5">
    <mergeCell ref="P3:Q3"/>
    <mergeCell ref="S3:T3"/>
    <mergeCell ref="V3:X3"/>
    <mergeCell ref="L14:N14"/>
    <mergeCell ref="P14:S14"/>
  </mergeCells>
  <conditionalFormatting sqref="U4:U30">
    <cfRule type="cellIs" dxfId="0" priority="1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"/>
  <sheetViews>
    <sheetView zoomScale="235" zoomScaleNormal="235" workbookViewId="0">
      <selection activeCell="D6" sqref="D6"/>
    </sheetView>
  </sheetViews>
  <sheetFormatPr defaultRowHeight="15" x14ac:dyDescent="0.2"/>
  <sheetData>
    <row r="1" spans="1:5" x14ac:dyDescent="0.2">
      <c r="A1" s="24" t="s">
        <v>61</v>
      </c>
      <c r="B1" s="24" t="s">
        <v>60</v>
      </c>
      <c r="C1" s="24" t="s">
        <v>59</v>
      </c>
      <c r="D1" s="24" t="s">
        <v>54</v>
      </c>
      <c r="E1" s="24" t="s">
        <v>56</v>
      </c>
    </row>
    <row r="2" spans="1:5" x14ac:dyDescent="0.2">
      <c r="A2" s="1">
        <v>1</v>
      </c>
      <c r="B2" s="1" t="s">
        <v>62</v>
      </c>
      <c r="C2" s="37" t="s">
        <v>302</v>
      </c>
      <c r="D2" s="1">
        <v>5</v>
      </c>
      <c r="E2" s="1" t="e">
        <f>C2*D2</f>
        <v>#VALUE!</v>
      </c>
    </row>
    <row r="3" spans="1:5" x14ac:dyDescent="0.2">
      <c r="A3" s="1">
        <v>2</v>
      </c>
      <c r="B3" s="1" t="s">
        <v>63</v>
      </c>
      <c r="C3" s="37">
        <v>5</v>
      </c>
      <c r="D3" s="1">
        <v>10</v>
      </c>
      <c r="E3" s="1">
        <f t="shared" ref="E3:E5" si="0">C3*D3</f>
        <v>50</v>
      </c>
    </row>
    <row r="4" spans="1:5" x14ac:dyDescent="0.2">
      <c r="A4" s="1">
        <v>3</v>
      </c>
      <c r="B4" s="1" t="s">
        <v>64</v>
      </c>
      <c r="C4" s="37">
        <v>6</v>
      </c>
      <c r="D4" s="1">
        <v>8</v>
      </c>
      <c r="E4" s="1">
        <f t="shared" si="0"/>
        <v>48</v>
      </c>
    </row>
    <row r="5" spans="1:5" x14ac:dyDescent="0.2">
      <c r="A5" s="1">
        <v>4</v>
      </c>
      <c r="B5" s="1" t="s">
        <v>65</v>
      </c>
      <c r="C5" s="37">
        <v>68</v>
      </c>
      <c r="D5" s="1">
        <v>5</v>
      </c>
      <c r="E5" s="1">
        <f t="shared" si="0"/>
        <v>340</v>
      </c>
    </row>
    <row r="6" spans="1:5" x14ac:dyDescent="0.2">
      <c r="C6" s="23"/>
    </row>
    <row r="7" spans="1:5" x14ac:dyDescent="0.2">
      <c r="D7" s="23"/>
    </row>
    <row r="8" spans="1:5" x14ac:dyDescent="0.2">
      <c r="A8" s="22" t="s">
        <v>61</v>
      </c>
      <c r="B8" s="22" t="s">
        <v>60</v>
      </c>
      <c r="C8" s="22" t="s">
        <v>59</v>
      </c>
      <c r="D8" s="69" t="s">
        <v>54</v>
      </c>
      <c r="E8" s="22" t="s">
        <v>56</v>
      </c>
    </row>
    <row r="9" spans="1:5" x14ac:dyDescent="0.2">
      <c r="A9" s="1">
        <v>1</v>
      </c>
      <c r="B9" s="1" t="s">
        <v>62</v>
      </c>
      <c r="C9" s="87">
        <v>50</v>
      </c>
      <c r="D9" s="70">
        <v>50</v>
      </c>
      <c r="E9" s="1">
        <f>C9*D9</f>
        <v>2500</v>
      </c>
    </row>
    <row r="10" spans="1:5" x14ac:dyDescent="0.2">
      <c r="A10" s="1">
        <v>2</v>
      </c>
      <c r="B10" s="1" t="s">
        <v>63</v>
      </c>
      <c r="C10" s="87">
        <v>20</v>
      </c>
      <c r="D10" s="70">
        <v>20</v>
      </c>
      <c r="E10" s="81">
        <f t="shared" ref="E10:E12" si="1">C10*D10</f>
        <v>400</v>
      </c>
    </row>
    <row r="11" spans="1:5" x14ac:dyDescent="0.2">
      <c r="A11" s="1">
        <v>3</v>
      </c>
      <c r="B11" s="1" t="s">
        <v>64</v>
      </c>
      <c r="C11" s="87">
        <v>60</v>
      </c>
      <c r="D11" s="70">
        <v>30</v>
      </c>
      <c r="E11" s="81">
        <f t="shared" si="1"/>
        <v>1800</v>
      </c>
    </row>
    <row r="12" spans="1:5" x14ac:dyDescent="0.2">
      <c r="A12" s="1">
        <v>4</v>
      </c>
      <c r="B12" s="1" t="s">
        <v>65</v>
      </c>
      <c r="C12" s="87">
        <v>40</v>
      </c>
      <c r="D12" s="70">
        <v>50</v>
      </c>
      <c r="E12" s="81">
        <f t="shared" si="1"/>
        <v>2000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1:N24"/>
  <sheetViews>
    <sheetView zoomScale="130" zoomScaleNormal="130" workbookViewId="0">
      <selection activeCell="G13" sqref="G13"/>
    </sheetView>
  </sheetViews>
  <sheetFormatPr defaultRowHeight="15" x14ac:dyDescent="0.2"/>
  <cols>
    <col min="8" max="8" width="14.9296875" bestFit="1" customWidth="1"/>
    <col min="9" max="9" width="14.52734375" customWidth="1"/>
  </cols>
  <sheetData>
    <row r="1" spans="3:14" x14ac:dyDescent="0.2">
      <c r="C1" s="107" t="s">
        <v>270</v>
      </c>
      <c r="D1" s="107"/>
      <c r="E1" s="107"/>
      <c r="I1" t="s">
        <v>268</v>
      </c>
      <c r="J1" t="s">
        <v>269</v>
      </c>
    </row>
    <row r="2" spans="3:14" x14ac:dyDescent="0.2">
      <c r="C2" s="72" t="s">
        <v>246</v>
      </c>
      <c r="D2" s="64"/>
      <c r="E2" s="62" t="s">
        <v>247</v>
      </c>
      <c r="H2" s="9" t="s">
        <v>248</v>
      </c>
      <c r="I2" s="26">
        <f>SUM(PK)</f>
        <v>580956</v>
      </c>
      <c r="J2" s="26"/>
    </row>
    <row r="3" spans="3:14" x14ac:dyDescent="0.2">
      <c r="C3" s="50">
        <v>8359</v>
      </c>
      <c r="E3">
        <v>10385</v>
      </c>
      <c r="H3" s="9" t="s">
        <v>52</v>
      </c>
      <c r="I3" s="26">
        <f>MAX(OK)</f>
        <v>9821</v>
      </c>
      <c r="J3" s="26"/>
    </row>
    <row r="4" spans="3:14" x14ac:dyDescent="0.2">
      <c r="C4" s="50">
        <v>603</v>
      </c>
      <c r="E4">
        <v>45987</v>
      </c>
      <c r="H4" s="9" t="s">
        <v>53</v>
      </c>
      <c r="I4" s="26">
        <f>MIN(PK)</f>
        <v>3074</v>
      </c>
      <c r="J4" s="26"/>
    </row>
    <row r="5" spans="3:14" x14ac:dyDescent="0.2">
      <c r="C5" s="50">
        <v>9821</v>
      </c>
      <c r="E5">
        <v>31097</v>
      </c>
      <c r="H5" s="9" t="s">
        <v>50</v>
      </c>
      <c r="I5" s="26">
        <f>AVERAGE(OK)</f>
        <v>5075</v>
      </c>
      <c r="J5" s="26"/>
    </row>
    <row r="6" spans="3:14" x14ac:dyDescent="0.2">
      <c r="C6" s="50">
        <v>639</v>
      </c>
      <c r="E6">
        <v>40914</v>
      </c>
      <c r="M6" s="105" t="s">
        <v>269</v>
      </c>
      <c r="N6" s="105"/>
    </row>
    <row r="7" spans="3:14" x14ac:dyDescent="0.2">
      <c r="C7" s="50">
        <v>3069</v>
      </c>
      <c r="E7">
        <v>14616</v>
      </c>
      <c r="H7" s="80" t="s">
        <v>1</v>
      </c>
      <c r="I7" s="72" t="s">
        <v>34</v>
      </c>
      <c r="J7" s="72" t="s">
        <v>35</v>
      </c>
      <c r="K7" s="72" t="s">
        <v>36</v>
      </c>
      <c r="L7" s="72" t="s">
        <v>249</v>
      </c>
      <c r="M7" s="72" t="s">
        <v>250</v>
      </c>
      <c r="N7" s="72" t="s">
        <v>251</v>
      </c>
    </row>
    <row r="8" spans="3:14" x14ac:dyDescent="0.2">
      <c r="C8" s="50">
        <v>172</v>
      </c>
      <c r="E8">
        <v>17781</v>
      </c>
      <c r="H8" s="80" t="s">
        <v>252</v>
      </c>
      <c r="I8" s="65">
        <v>318</v>
      </c>
      <c r="J8" s="65">
        <v>582</v>
      </c>
      <c r="K8" s="65">
        <v>124</v>
      </c>
      <c r="L8" s="65">
        <v>518</v>
      </c>
      <c r="M8" s="65">
        <v>440</v>
      </c>
      <c r="N8" s="65">
        <v>17</v>
      </c>
    </row>
    <row r="9" spans="3:14" x14ac:dyDescent="0.2">
      <c r="C9" s="50">
        <v>1481</v>
      </c>
      <c r="E9">
        <v>43500</v>
      </c>
      <c r="H9" s="80" t="s">
        <v>253</v>
      </c>
      <c r="I9" s="65">
        <v>784</v>
      </c>
      <c r="J9" s="65">
        <v>239</v>
      </c>
      <c r="K9" s="65">
        <v>15</v>
      </c>
      <c r="L9" s="65">
        <v>379</v>
      </c>
      <c r="M9" s="65">
        <v>279</v>
      </c>
      <c r="N9" s="65">
        <v>394</v>
      </c>
    </row>
    <row r="10" spans="3:14" x14ac:dyDescent="0.2">
      <c r="C10" s="50">
        <v>4863</v>
      </c>
      <c r="E10">
        <v>49416</v>
      </c>
      <c r="H10" s="80" t="s">
        <v>254</v>
      </c>
      <c r="I10" s="65">
        <v>169</v>
      </c>
      <c r="J10" s="65">
        <v>639</v>
      </c>
      <c r="K10" s="65">
        <v>928</v>
      </c>
      <c r="L10" s="65">
        <v>475</v>
      </c>
      <c r="M10" s="65">
        <v>52</v>
      </c>
      <c r="N10" s="65">
        <v>437</v>
      </c>
    </row>
    <row r="11" spans="3:14" x14ac:dyDescent="0.2">
      <c r="C11" s="50">
        <v>4866</v>
      </c>
      <c r="E11">
        <v>31625</v>
      </c>
      <c r="H11" s="80" t="s">
        <v>255</v>
      </c>
      <c r="I11" s="65">
        <v>535</v>
      </c>
      <c r="J11" s="65">
        <v>531</v>
      </c>
      <c r="K11" s="65">
        <v>530</v>
      </c>
      <c r="L11" s="65">
        <v>216</v>
      </c>
      <c r="M11" s="65">
        <v>841</v>
      </c>
      <c r="N11" s="65">
        <v>227</v>
      </c>
    </row>
    <row r="12" spans="3:14" x14ac:dyDescent="0.2">
      <c r="C12" s="50">
        <v>9816</v>
      </c>
      <c r="E12">
        <v>43030</v>
      </c>
      <c r="H12" s="80" t="s">
        <v>256</v>
      </c>
      <c r="I12" s="65">
        <v>595</v>
      </c>
      <c r="J12" s="65">
        <v>78</v>
      </c>
      <c r="K12" s="65">
        <v>303</v>
      </c>
      <c r="L12" s="65">
        <v>463</v>
      </c>
      <c r="M12" s="65">
        <v>65</v>
      </c>
      <c r="N12" s="65">
        <v>70</v>
      </c>
    </row>
    <row r="13" spans="3:14" x14ac:dyDescent="0.2">
      <c r="C13" s="50">
        <v>8015</v>
      </c>
      <c r="E13">
        <v>24823</v>
      </c>
      <c r="H13" s="80" t="s">
        <v>257</v>
      </c>
      <c r="I13" s="65">
        <v>34</v>
      </c>
      <c r="J13" s="65">
        <v>814</v>
      </c>
      <c r="K13" s="65">
        <v>783</v>
      </c>
      <c r="L13" s="65">
        <v>52</v>
      </c>
      <c r="M13" s="65">
        <v>190</v>
      </c>
      <c r="N13" s="65">
        <v>769</v>
      </c>
    </row>
    <row r="14" spans="3:14" x14ac:dyDescent="0.2">
      <c r="C14" s="50">
        <v>6197</v>
      </c>
      <c r="E14">
        <v>10751</v>
      </c>
      <c r="H14" s="80" t="s">
        <v>258</v>
      </c>
      <c r="I14" s="65">
        <v>940</v>
      </c>
      <c r="J14" s="65">
        <v>568</v>
      </c>
      <c r="K14" s="65">
        <v>178</v>
      </c>
      <c r="L14" s="65">
        <v>404</v>
      </c>
      <c r="M14" s="65">
        <v>852</v>
      </c>
      <c r="N14" s="65">
        <v>662</v>
      </c>
    </row>
    <row r="15" spans="3:14" x14ac:dyDescent="0.2">
      <c r="C15" s="50">
        <v>8074</v>
      </c>
      <c r="E15">
        <v>4939</v>
      </c>
      <c r="H15" s="80" t="s">
        <v>259</v>
      </c>
      <c r="I15" s="65">
        <v>71</v>
      </c>
      <c r="J15" s="65">
        <v>678</v>
      </c>
      <c r="K15" s="65">
        <v>26</v>
      </c>
      <c r="L15" s="65">
        <v>817</v>
      </c>
      <c r="M15" s="65">
        <v>886</v>
      </c>
      <c r="N15" s="65">
        <v>421</v>
      </c>
    </row>
    <row r="16" spans="3:14" x14ac:dyDescent="0.2">
      <c r="E16">
        <v>30988</v>
      </c>
      <c r="H16" s="80" t="s">
        <v>260</v>
      </c>
      <c r="I16" s="65">
        <v>959</v>
      </c>
      <c r="J16" s="65">
        <v>884</v>
      </c>
      <c r="K16" s="65">
        <v>302</v>
      </c>
      <c r="L16" s="65">
        <v>689</v>
      </c>
      <c r="M16" s="65">
        <v>516</v>
      </c>
      <c r="N16" s="65">
        <v>390</v>
      </c>
    </row>
    <row r="17" spans="5:14" x14ac:dyDescent="0.2">
      <c r="E17">
        <v>25001</v>
      </c>
      <c r="H17" s="80" t="s">
        <v>261</v>
      </c>
      <c r="I17" s="65">
        <v>323</v>
      </c>
      <c r="J17" s="65">
        <v>117</v>
      </c>
      <c r="K17" s="65">
        <v>397</v>
      </c>
      <c r="L17" s="65">
        <v>631</v>
      </c>
      <c r="M17" s="65">
        <v>543</v>
      </c>
      <c r="N17" s="65">
        <v>684</v>
      </c>
    </row>
    <row r="18" spans="5:14" x14ac:dyDescent="0.2">
      <c r="E18">
        <v>37826</v>
      </c>
      <c r="H18" s="80" t="s">
        <v>262</v>
      </c>
      <c r="I18" s="65">
        <v>855</v>
      </c>
      <c r="J18" s="65">
        <v>122</v>
      </c>
      <c r="K18" s="65">
        <v>234</v>
      </c>
      <c r="L18" s="65">
        <v>395</v>
      </c>
      <c r="M18" s="65">
        <v>278</v>
      </c>
      <c r="N18" s="65">
        <v>774</v>
      </c>
    </row>
    <row r="19" spans="5:14" x14ac:dyDescent="0.2">
      <c r="E19">
        <v>40835</v>
      </c>
      <c r="H19" s="80" t="s">
        <v>263</v>
      </c>
      <c r="I19" s="65">
        <v>645</v>
      </c>
      <c r="J19" s="65">
        <v>867</v>
      </c>
      <c r="K19" s="65">
        <v>197</v>
      </c>
      <c r="L19" s="65">
        <v>597</v>
      </c>
      <c r="M19" s="65">
        <v>582</v>
      </c>
      <c r="N19" s="65">
        <v>422</v>
      </c>
    </row>
    <row r="20" spans="5:14" x14ac:dyDescent="0.2">
      <c r="E20">
        <v>3074</v>
      </c>
      <c r="H20" s="80" t="s">
        <v>264</v>
      </c>
      <c r="I20" s="65">
        <v>454</v>
      </c>
      <c r="J20" s="65">
        <v>800</v>
      </c>
      <c r="K20" s="65">
        <v>594</v>
      </c>
      <c r="L20" s="65">
        <v>505</v>
      </c>
      <c r="M20" s="65">
        <v>932</v>
      </c>
      <c r="N20" s="65">
        <v>288</v>
      </c>
    </row>
    <row r="21" spans="5:14" x14ac:dyDescent="0.2">
      <c r="E21">
        <v>45557</v>
      </c>
      <c r="H21" s="80" t="s">
        <v>265</v>
      </c>
      <c r="I21" s="65">
        <v>706</v>
      </c>
      <c r="J21" s="65">
        <v>918</v>
      </c>
      <c r="K21" s="65">
        <v>728</v>
      </c>
      <c r="L21" s="65">
        <v>767</v>
      </c>
      <c r="M21" s="65">
        <v>892</v>
      </c>
      <c r="N21" s="65">
        <v>585</v>
      </c>
    </row>
    <row r="22" spans="5:14" x14ac:dyDescent="0.2">
      <c r="E22">
        <v>3524</v>
      </c>
      <c r="H22" s="80" t="s">
        <v>266</v>
      </c>
      <c r="I22" s="65">
        <v>690</v>
      </c>
      <c r="J22" s="65">
        <v>492</v>
      </c>
      <c r="K22" s="65">
        <v>145</v>
      </c>
      <c r="L22" s="65">
        <v>428</v>
      </c>
      <c r="M22" s="65">
        <v>487</v>
      </c>
      <c r="N22" s="65">
        <v>148</v>
      </c>
    </row>
    <row r="23" spans="5:14" x14ac:dyDescent="0.2">
      <c r="E23">
        <v>21531</v>
      </c>
      <c r="H23" s="80" t="s">
        <v>267</v>
      </c>
      <c r="I23" s="65">
        <v>414</v>
      </c>
      <c r="J23" s="65">
        <v>109</v>
      </c>
      <c r="K23" s="65">
        <v>409</v>
      </c>
      <c r="L23" s="65">
        <v>541</v>
      </c>
      <c r="M23" s="65">
        <v>755</v>
      </c>
      <c r="N23" s="65">
        <v>425</v>
      </c>
    </row>
    <row r="24" spans="5:14" x14ac:dyDescent="0.2">
      <c r="E24">
        <v>3756</v>
      </c>
      <c r="I24">
        <f>SUM(JAN)</f>
        <v>8492</v>
      </c>
    </row>
  </sheetData>
  <mergeCells count="2">
    <mergeCell ref="M6:N6"/>
    <mergeCell ref="C1:E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H12"/>
  <sheetViews>
    <sheetView tabSelected="1" zoomScale="145" zoomScaleNormal="145" workbookViewId="0">
      <selection activeCell="G12" sqref="G12"/>
    </sheetView>
  </sheetViews>
  <sheetFormatPr defaultRowHeight="15" x14ac:dyDescent="0.2"/>
  <cols>
    <col min="4" max="4" width="22.46484375" customWidth="1"/>
  </cols>
  <sheetData>
    <row r="2" spans="2:8" x14ac:dyDescent="0.2">
      <c r="B2" s="81">
        <v>643</v>
      </c>
      <c r="C2" s="81">
        <v>608</v>
      </c>
      <c r="D2" s="81">
        <v>916</v>
      </c>
      <c r="E2" s="81">
        <v>971</v>
      </c>
      <c r="F2" s="81">
        <v>882</v>
      </c>
      <c r="G2" s="81">
        <v>978</v>
      </c>
      <c r="H2" s="81">
        <v>966</v>
      </c>
    </row>
    <row r="3" spans="2:8" x14ac:dyDescent="0.2">
      <c r="B3" s="81">
        <v>808</v>
      </c>
      <c r="C3" s="81">
        <v>294</v>
      </c>
      <c r="D3" s="81">
        <v>807</v>
      </c>
      <c r="E3" s="81">
        <v>973</v>
      </c>
      <c r="F3" s="81">
        <v>704</v>
      </c>
      <c r="G3" s="81">
        <v>681</v>
      </c>
      <c r="H3" s="81">
        <v>808</v>
      </c>
    </row>
    <row r="4" spans="2:8" x14ac:dyDescent="0.2">
      <c r="B4" s="81">
        <v>825</v>
      </c>
      <c r="C4" s="81">
        <v>604</v>
      </c>
      <c r="D4" s="81">
        <v>229</v>
      </c>
      <c r="E4" s="81">
        <v>973</v>
      </c>
      <c r="F4" s="81">
        <v>861</v>
      </c>
      <c r="G4" s="81">
        <v>517</v>
      </c>
      <c r="H4" s="81">
        <v>348</v>
      </c>
    </row>
    <row r="5" spans="2:8" x14ac:dyDescent="0.2">
      <c r="B5" s="81">
        <v>450</v>
      </c>
      <c r="C5" s="81">
        <v>549</v>
      </c>
      <c r="D5" s="81">
        <v>508</v>
      </c>
      <c r="E5" s="81">
        <v>615</v>
      </c>
      <c r="F5" s="81">
        <v>741</v>
      </c>
      <c r="G5" s="81">
        <v>85</v>
      </c>
      <c r="H5" s="81">
        <v>960</v>
      </c>
    </row>
    <row r="6" spans="2:8" x14ac:dyDescent="0.2">
      <c r="B6" s="81">
        <v>139</v>
      </c>
      <c r="C6" s="81">
        <v>623</v>
      </c>
      <c r="D6" s="81">
        <v>25</v>
      </c>
      <c r="E6" s="81">
        <v>203</v>
      </c>
      <c r="F6" s="81">
        <v>871</v>
      </c>
      <c r="G6" s="81">
        <v>522</v>
      </c>
      <c r="H6" s="81">
        <v>674</v>
      </c>
    </row>
    <row r="7" spans="2:8" x14ac:dyDescent="0.2">
      <c r="B7" s="81">
        <v>549</v>
      </c>
      <c r="C7" s="81">
        <v>96</v>
      </c>
      <c r="D7" s="81">
        <v>917</v>
      </c>
      <c r="E7" s="81">
        <v>298</v>
      </c>
      <c r="F7" s="81">
        <v>920</v>
      </c>
      <c r="G7" s="81">
        <v>144</v>
      </c>
      <c r="H7" s="81">
        <v>917</v>
      </c>
    </row>
    <row r="8" spans="2:8" x14ac:dyDescent="0.2">
      <c r="B8" s="81">
        <v>662</v>
      </c>
      <c r="C8" s="81">
        <v>158</v>
      </c>
      <c r="D8" s="81">
        <v>866</v>
      </c>
      <c r="E8" s="81">
        <v>688</v>
      </c>
      <c r="F8" s="81">
        <v>92</v>
      </c>
      <c r="G8" s="81">
        <v>662</v>
      </c>
      <c r="H8" s="81">
        <v>790</v>
      </c>
    </row>
    <row r="9" spans="2:8" x14ac:dyDescent="0.2">
      <c r="B9" s="81">
        <v>689</v>
      </c>
      <c r="C9" s="81">
        <v>339</v>
      </c>
      <c r="D9" s="81">
        <v>481</v>
      </c>
      <c r="E9" s="81">
        <v>858</v>
      </c>
      <c r="F9" s="81">
        <v>419</v>
      </c>
      <c r="G9" s="81">
        <v>612</v>
      </c>
      <c r="H9" s="81">
        <v>789</v>
      </c>
    </row>
    <row r="12" spans="2:8" x14ac:dyDescent="0.2">
      <c r="C12" t="s">
        <v>303</v>
      </c>
      <c r="D12">
        <f>D8+F5+G3+H2+H9+B2+B9+D3+F6+B6+E7+F8</f>
        <v>7582</v>
      </c>
      <c r="F12" t="s">
        <v>304</v>
      </c>
      <c r="G12">
        <f>H9+F6+D5+C5+C8+B9+B4+D3</f>
        <v>5196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"/>
  <sheetViews>
    <sheetView topLeftCell="N1" zoomScale="160" zoomScaleNormal="160" workbookViewId="0">
      <selection activeCell="I8" sqref="I8"/>
    </sheetView>
  </sheetViews>
  <sheetFormatPr defaultRowHeight="15" x14ac:dyDescent="0.2"/>
  <cols>
    <col min="4" max="4" width="11.1640625" bestFit="1" customWidth="1"/>
    <col min="5" max="5" width="12.10546875" bestFit="1" customWidth="1"/>
  </cols>
  <sheetData>
    <row r="1" spans="1:8" x14ac:dyDescent="0.2">
      <c r="A1" s="27" t="s">
        <v>1</v>
      </c>
      <c r="B1" s="27" t="s">
        <v>108</v>
      </c>
      <c r="C1" s="27" t="s">
        <v>109</v>
      </c>
      <c r="D1" s="27" t="s">
        <v>55</v>
      </c>
      <c r="E1" s="27" t="s">
        <v>289</v>
      </c>
      <c r="F1" s="27" t="s">
        <v>295</v>
      </c>
      <c r="G1" s="27" t="s">
        <v>296</v>
      </c>
      <c r="H1" s="27" t="s">
        <v>297</v>
      </c>
    </row>
    <row r="2" spans="1:8" x14ac:dyDescent="0.2">
      <c r="A2" s="21" t="s">
        <v>37</v>
      </c>
      <c r="B2" s="21" t="s">
        <v>118</v>
      </c>
      <c r="C2" s="21">
        <v>12</v>
      </c>
      <c r="D2" s="21" t="s">
        <v>120</v>
      </c>
      <c r="E2" s="28" t="s">
        <v>290</v>
      </c>
      <c r="F2" s="21">
        <v>3500</v>
      </c>
      <c r="G2" s="21">
        <v>500</v>
      </c>
      <c r="H2" s="21">
        <f>F2-G2</f>
        <v>3000</v>
      </c>
    </row>
    <row r="3" spans="1:8" x14ac:dyDescent="0.2">
      <c r="A3" s="21" t="s">
        <v>38</v>
      </c>
      <c r="B3" s="21" t="s">
        <v>118</v>
      </c>
      <c r="C3" s="21">
        <v>48</v>
      </c>
      <c r="D3" s="21" t="s">
        <v>121</v>
      </c>
      <c r="E3" s="28" t="s">
        <v>291</v>
      </c>
      <c r="F3" s="21">
        <v>4500</v>
      </c>
      <c r="G3" s="21">
        <v>500</v>
      </c>
      <c r="H3" s="21">
        <f t="shared" ref="H3:H10" si="0">F3-G3</f>
        <v>4000</v>
      </c>
    </row>
    <row r="4" spans="1:8" x14ac:dyDescent="0.2">
      <c r="A4" s="21" t="s">
        <v>87</v>
      </c>
      <c r="B4" s="21" t="s">
        <v>118</v>
      </c>
      <c r="C4" s="21">
        <v>52</v>
      </c>
      <c r="D4" s="21" t="s">
        <v>122</v>
      </c>
      <c r="E4" s="28" t="s">
        <v>292</v>
      </c>
      <c r="F4" s="21">
        <v>5000</v>
      </c>
      <c r="G4" s="21">
        <v>5000</v>
      </c>
      <c r="H4" s="21">
        <f t="shared" si="0"/>
        <v>0</v>
      </c>
    </row>
    <row r="5" spans="1:8" x14ac:dyDescent="0.2">
      <c r="A5" s="21" t="s">
        <v>40</v>
      </c>
      <c r="B5" s="21" t="s">
        <v>119</v>
      </c>
      <c r="C5" s="21">
        <v>47</v>
      </c>
      <c r="D5" s="21" t="s">
        <v>123</v>
      </c>
      <c r="E5" s="28" t="s">
        <v>293</v>
      </c>
      <c r="F5" s="21">
        <v>5000</v>
      </c>
      <c r="G5" s="21">
        <v>2500</v>
      </c>
      <c r="H5" s="21">
        <f t="shared" si="0"/>
        <v>2500</v>
      </c>
    </row>
    <row r="6" spans="1:8" x14ac:dyDescent="0.2">
      <c r="A6" s="21" t="s">
        <v>41</v>
      </c>
      <c r="B6" s="21" t="s">
        <v>119</v>
      </c>
      <c r="C6" s="21">
        <v>52</v>
      </c>
      <c r="D6" s="21" t="s">
        <v>124</v>
      </c>
      <c r="E6" s="28" t="s">
        <v>294</v>
      </c>
      <c r="F6" s="21">
        <v>3350</v>
      </c>
      <c r="G6" s="21">
        <v>1000</v>
      </c>
      <c r="H6" s="21">
        <f t="shared" si="0"/>
        <v>2350</v>
      </c>
    </row>
    <row r="7" spans="1:8" x14ac:dyDescent="0.2">
      <c r="A7" s="21" t="s">
        <v>42</v>
      </c>
      <c r="B7" s="21" t="s">
        <v>118</v>
      </c>
      <c r="C7" s="21">
        <v>30</v>
      </c>
      <c r="D7" s="21" t="s">
        <v>122</v>
      </c>
      <c r="E7" s="28" t="s">
        <v>290</v>
      </c>
      <c r="F7" s="21">
        <v>3500</v>
      </c>
      <c r="G7" s="21">
        <v>3500</v>
      </c>
      <c r="H7" s="21">
        <f t="shared" si="0"/>
        <v>0</v>
      </c>
    </row>
    <row r="8" spans="1:8" x14ac:dyDescent="0.2">
      <c r="A8" s="21" t="s">
        <v>43</v>
      </c>
      <c r="B8" s="21" t="s">
        <v>118</v>
      </c>
      <c r="C8" s="21">
        <v>25</v>
      </c>
      <c r="D8" s="21" t="s">
        <v>120</v>
      </c>
      <c r="E8" s="28" t="s">
        <v>294</v>
      </c>
      <c r="F8" s="21">
        <v>3350</v>
      </c>
      <c r="G8" s="21">
        <v>3000</v>
      </c>
      <c r="H8" s="21">
        <f t="shared" si="0"/>
        <v>350</v>
      </c>
    </row>
    <row r="9" spans="1:8" x14ac:dyDescent="0.2">
      <c r="A9" s="21" t="s">
        <v>110</v>
      </c>
      <c r="B9" s="21" t="s">
        <v>119</v>
      </c>
      <c r="C9" s="21">
        <v>42</v>
      </c>
      <c r="D9" s="21" t="s">
        <v>125</v>
      </c>
      <c r="E9" s="28" t="s">
        <v>290</v>
      </c>
      <c r="F9" s="21">
        <v>3500</v>
      </c>
      <c r="G9" s="21">
        <v>2500</v>
      </c>
      <c r="H9" s="21">
        <f t="shared" si="0"/>
        <v>1000</v>
      </c>
    </row>
    <row r="10" spans="1:8" x14ac:dyDescent="0.2">
      <c r="A10" s="21" t="s">
        <v>75</v>
      </c>
      <c r="B10" s="21" t="s">
        <v>119</v>
      </c>
      <c r="C10" s="21">
        <v>52</v>
      </c>
      <c r="D10" s="21" t="s">
        <v>125</v>
      </c>
      <c r="E10" s="28" t="s">
        <v>291</v>
      </c>
      <c r="F10" s="21">
        <v>4500</v>
      </c>
      <c r="G10" s="21">
        <v>1000</v>
      </c>
      <c r="H10" s="21">
        <f t="shared" si="0"/>
        <v>3500</v>
      </c>
    </row>
  </sheetData>
  <pageMargins left="0.7" right="0.7" top="0.75" bottom="0.75" header="0.3" footer="0.3"/>
  <cellWatches>
    <cellWatch r="A1"/>
    <cellWatch r="B1"/>
    <cellWatch r="C1"/>
    <cellWatch r="D1"/>
    <cellWatch r="E1"/>
    <cellWatch r="F1"/>
    <cellWatch r="G1"/>
    <cellWatch r="H1"/>
    <cellWatch r="A2"/>
    <cellWatch r="B2"/>
    <cellWatch r="C2"/>
    <cellWatch r="D2"/>
    <cellWatch r="E2"/>
    <cellWatch r="F2"/>
    <cellWatch r="G2"/>
    <cellWatch r="H2"/>
    <cellWatch r="A3"/>
    <cellWatch r="B3"/>
    <cellWatch r="C3"/>
    <cellWatch r="D3"/>
    <cellWatch r="E3"/>
    <cellWatch r="F3"/>
    <cellWatch r="G3"/>
    <cellWatch r="H3"/>
    <cellWatch r="A4"/>
    <cellWatch r="B4"/>
    <cellWatch r="C4"/>
    <cellWatch r="D4"/>
    <cellWatch r="E4"/>
    <cellWatch r="F4"/>
    <cellWatch r="G4"/>
    <cellWatch r="H4"/>
    <cellWatch r="A5"/>
    <cellWatch r="B5"/>
    <cellWatch r="C5"/>
    <cellWatch r="D5"/>
    <cellWatch r="E5"/>
    <cellWatch r="F5"/>
    <cellWatch r="G5"/>
    <cellWatch r="H5"/>
    <cellWatch r="A6"/>
    <cellWatch r="B6"/>
    <cellWatch r="C6"/>
    <cellWatch r="D6"/>
    <cellWatch r="E6"/>
    <cellWatch r="F6"/>
    <cellWatch r="G6"/>
    <cellWatch r="H6"/>
    <cellWatch r="A7"/>
    <cellWatch r="B7"/>
    <cellWatch r="C7"/>
    <cellWatch r="D7"/>
    <cellWatch r="E7"/>
    <cellWatch r="F7"/>
    <cellWatch r="G7"/>
    <cellWatch r="H7"/>
    <cellWatch r="A8"/>
    <cellWatch r="B8"/>
    <cellWatch r="C8"/>
    <cellWatch r="D8"/>
    <cellWatch r="E8"/>
    <cellWatch r="F8"/>
    <cellWatch r="G8"/>
    <cellWatch r="H8"/>
    <cellWatch r="A9"/>
    <cellWatch r="B9"/>
    <cellWatch r="C9"/>
    <cellWatch r="D9"/>
    <cellWatch r="E9"/>
    <cellWatch r="F9"/>
    <cellWatch r="G9"/>
    <cellWatch r="H9"/>
    <cellWatch r="A10"/>
    <cellWatch r="B10"/>
    <cellWatch r="C10"/>
    <cellWatch r="D10"/>
    <cellWatch r="E10"/>
    <cellWatch r="F10"/>
    <cellWatch r="G10"/>
    <cellWatch r="H10"/>
  </cellWatch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D5:F14"/>
  <sheetViews>
    <sheetView zoomScale="205" zoomScaleNormal="205" workbookViewId="0">
      <selection activeCell="B8" sqref="B8"/>
    </sheetView>
  </sheetViews>
  <sheetFormatPr defaultRowHeight="15" x14ac:dyDescent="0.2"/>
  <sheetData>
    <row r="5" spans="4:6" x14ac:dyDescent="0.2">
      <c r="D5" s="21">
        <v>100</v>
      </c>
      <c r="F5" s="21">
        <v>2</v>
      </c>
    </row>
    <row r="6" spans="4:6" x14ac:dyDescent="0.2">
      <c r="D6" s="21">
        <v>10</v>
      </c>
      <c r="F6" s="21">
        <v>2</v>
      </c>
    </row>
    <row r="7" spans="4:6" x14ac:dyDescent="0.2">
      <c r="D7" s="21">
        <v>10</v>
      </c>
      <c r="F7" s="21">
        <v>2</v>
      </c>
    </row>
    <row r="8" spans="4:6" x14ac:dyDescent="0.2">
      <c r="D8" s="21">
        <v>10</v>
      </c>
      <c r="F8" s="21">
        <v>2</v>
      </c>
    </row>
    <row r="9" spans="4:6" x14ac:dyDescent="0.2">
      <c r="D9" s="21">
        <v>10</v>
      </c>
      <c r="F9" s="21">
        <v>2</v>
      </c>
    </row>
    <row r="10" spans="4:6" x14ac:dyDescent="0.2">
      <c r="D10" s="21">
        <v>10</v>
      </c>
      <c r="F10" s="21">
        <v>2</v>
      </c>
    </row>
    <row r="11" spans="4:6" x14ac:dyDescent="0.2">
      <c r="D11" s="21">
        <v>10</v>
      </c>
      <c r="F11" s="21">
        <v>2</v>
      </c>
    </row>
    <row r="12" spans="4:6" x14ac:dyDescent="0.2">
      <c r="D12" s="21">
        <v>10</v>
      </c>
      <c r="F12" s="21">
        <v>2</v>
      </c>
    </row>
    <row r="13" spans="4:6" x14ac:dyDescent="0.2">
      <c r="D13" s="21">
        <v>30</v>
      </c>
      <c r="F13" s="21">
        <v>2</v>
      </c>
    </row>
    <row r="14" spans="4:6" x14ac:dyDescent="0.2">
      <c r="D14" s="27">
        <f>SUM(D5:D13)</f>
        <v>200</v>
      </c>
      <c r="F14" s="68">
        <f>SUM(F5:F13)</f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SUM</vt:lpstr>
      <vt:lpstr>A+C+M+M</vt:lpstr>
      <vt:lpstr>FINANCIAL</vt:lpstr>
      <vt:lpstr>LOGICAL</vt:lpstr>
      <vt:lpstr>TEXT</vt:lpstr>
      <vt:lpstr>TIME</vt:lpstr>
      <vt:lpstr>LOOKUP</vt:lpstr>
      <vt:lpstr>MATH</vt:lpstr>
      <vt:lpstr>OTHER</vt:lpstr>
      <vt:lpstr>NUMBER CUSTOM 0 "KG"</vt:lpstr>
      <vt:lpstr>DEFINED NAMES</vt:lpstr>
      <vt:lpstr>FORMULA AUDITING</vt:lpstr>
      <vt:lpstr>WATCH</vt:lpstr>
      <vt:lpstr>Sheet3</vt:lpstr>
      <vt:lpstr>APR</vt:lpstr>
      <vt:lpstr>FEB</vt:lpstr>
      <vt:lpstr>JAN</vt:lpstr>
      <vt:lpstr>JUN</vt:lpstr>
      <vt:lpstr>MAR</vt:lpstr>
      <vt:lpstr>MAY</vt:lpstr>
      <vt:lpstr>NAME</vt:lpstr>
      <vt:lpstr>OK</vt:lpstr>
      <vt:lpstr>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Navkar computer</dc:creator>
  <cp:lastModifiedBy>NAVKAR COMPUTER</cp:lastModifiedBy>
  <cp:lastPrinted>2021-08-11T05:55:06Z</cp:lastPrinted>
  <dcterms:created xsi:type="dcterms:W3CDTF">2021-03-03T09:17:18Z</dcterms:created>
  <dcterms:modified xsi:type="dcterms:W3CDTF">2022-02-11T05:50:35Z</dcterms:modified>
</cp:coreProperties>
</file>