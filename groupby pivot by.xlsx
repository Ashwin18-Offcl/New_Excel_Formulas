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 activeTab="2"/>
  </bookViews>
  <sheets>
    <sheet name="Ex. 1" sheetId="1" r:id="rId1"/>
    <sheet name="Ex. 2" sheetId="3" r:id="rId2"/>
    <sheet name="Ex. 3" sheetId="4" r:id="rId3"/>
    <sheet name="Ex. 4" sheetId="5" r:id="rId4"/>
    <sheet name="Ex. 5" sheetId="6" r:id="rId5"/>
    <sheet name="Ex. 6" sheetId="10" r:id="rId6"/>
    <sheet name="Ex. 7" sheetId="11" r:id="rId7"/>
    <sheet name="Ex. 8" sheetId="12" r:id="rId8"/>
    <sheet name="Sheet7" sheetId="7" state="hidden" r:id="rId9"/>
    <sheet name="Sheet8" sheetId="8" state="hidden" r:id="rId10"/>
    <sheet name="Sheet9" sheetId="9" state="hidden" r:id="rId11"/>
    <sheet name="Sheet2" sheetId="2" state="hidden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<sst xmlns="http://schemas.openxmlformats.org/spreadsheetml/2006/main" count="560" uniqueCount="20">
  <si>
    <t>Month</t>
  </si>
  <si>
    <t>Items</t>
  </si>
  <si>
    <t>Region</t>
  </si>
  <si>
    <t>Price</t>
  </si>
  <si>
    <t>Qty Sold</t>
  </si>
  <si>
    <t>QTY Sold</t>
  </si>
  <si>
    <t>Jan</t>
  </si>
  <si>
    <t>Mic.</t>
  </si>
  <si>
    <t>East</t>
  </si>
  <si>
    <t>Tripod</t>
  </si>
  <si>
    <t>West</t>
  </si>
  <si>
    <t>RGB Keyboard</t>
  </si>
  <si>
    <t>North</t>
  </si>
  <si>
    <t>South</t>
  </si>
  <si>
    <t>Ring Light</t>
  </si>
  <si>
    <t>Laptop</t>
  </si>
  <si>
    <t>Feb</t>
  </si>
  <si>
    <t>Mar</t>
  </si>
  <si>
    <t>Apr</t>
  </si>
  <si>
    <t>feb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</si>
</sst>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4"/>
      <color theme="1"/>
      <name val="Aptos Narrow"/>
      <charset val="134"/>
      <scheme val="minor"/>
    </font>
    <font>
      <b/>
      <sz val="14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180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1" fillId="0" borderId="3" xfId="0" applyFont="1" applyFill="1" applyBorder="1"/>
    <xf numFmtId="9" fontId="0" fillId="0" borderId="0" xfId="3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www.wps.cn/officeDocument/2023/relationships/customStorage" Target="customStorage/customStorage.xml"/><Relationship Id="rId18" Type="http://schemas.openxmlformats.org/officeDocument/2006/relationships/styles" Target="styles.xml"/><Relationship Id="rId17" Type="http://schemas.microsoft.com/office/2017/06/relationships/rdRichValue" Target="richData/rdrichvalue.xml"/><Relationship Id="rId16" Type="http://schemas.microsoft.com/office/2017/06/relationships/rdRichValueStructure" Target="richData/rdrichvaluestructure.xml"/><Relationship Id="rId15" Type="http://schemas.openxmlformats.org/officeDocument/2006/relationships/sheetMetadata" Target="metadata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richData/rdrichvalue.xml><?xml version="1.0" encoding="utf-8"?>
<rvData xmlns="http://schemas.microsoft.com/office/spreadsheetml/2017/richdata" count="1">
  <rv s="0">
    <v>2</v>
    <v>8</v>
    <v>12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3"/>
  <sheetViews>
    <sheetView showGridLines="0" topLeftCell="G1" workbookViewId="0">
      <selection activeCell="H11" sqref="H11"/>
    </sheetView>
  </sheetViews>
  <sheetFormatPr defaultColWidth="9" defaultRowHeight="17.4"/>
  <cols>
    <col min="3" max="3" width="14.6944444444444" customWidth="1"/>
    <col min="8" max="8" width="15.1111111111111" customWidth="1"/>
    <col min="9" max="9" width="10.8888888888889" customWidth="1"/>
  </cols>
  <sheetData>
    <row r="2" ht="18.15" spans="2:9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H2" s="6" t="s">
        <v>1</v>
      </c>
      <c r="I2" s="6" t="s">
        <v>5</v>
      </c>
    </row>
    <row r="3" spans="2:9">
      <c r="B3" s="3" t="s">
        <v>6</v>
      </c>
      <c r="C3" s="4" t="s">
        <v>7</v>
      </c>
      <c r="D3" s="4" t="s">
        <v>8</v>
      </c>
      <c r="E3" s="4">
        <v>1200</v>
      </c>
      <c r="F3" s="4">
        <v>20</v>
      </c>
      <c r="H3" t="str" cm="1">
        <f t="array" ref="H3:I8">_xlfn.GROUPBY(C3:C23,F3:F23,_xleta.PERCENTOF)</f>
        <v>Laptop</v>
      </c>
      <c r="I3" s="7">
        <v>0.173148148148148</v>
      </c>
    </row>
    <row r="4" spans="2:9">
      <c r="B4" s="3" t="s">
        <v>6</v>
      </c>
      <c r="C4" s="4" t="s">
        <v>9</v>
      </c>
      <c r="D4" s="4" t="s">
        <v>10</v>
      </c>
      <c r="E4" s="4">
        <v>45000</v>
      </c>
      <c r="F4" s="4">
        <v>30</v>
      </c>
      <c r="H4" t="str">
        <v>Mic.</v>
      </c>
      <c r="I4" s="7">
        <v>0.344444444444444</v>
      </c>
    </row>
    <row r="5" spans="2:9">
      <c r="B5" s="3" t="s">
        <v>6</v>
      </c>
      <c r="C5" s="4" t="s">
        <v>11</v>
      </c>
      <c r="D5" s="4" t="s">
        <v>12</v>
      </c>
      <c r="E5" s="4">
        <v>5000</v>
      </c>
      <c r="F5" s="4">
        <v>40</v>
      </c>
      <c r="H5" t="str">
        <v>RGB Keyboard</v>
      </c>
      <c r="I5" s="7">
        <v>0.12962962962963</v>
      </c>
    </row>
    <row r="6" spans="2:9">
      <c r="B6" s="3" t="s">
        <v>6</v>
      </c>
      <c r="C6" s="4" t="s">
        <v>9</v>
      </c>
      <c r="D6" s="4" t="s">
        <v>13</v>
      </c>
      <c r="E6" s="4">
        <v>1399</v>
      </c>
      <c r="F6" s="4">
        <v>45</v>
      </c>
      <c r="H6" t="str">
        <v>Ring Light</v>
      </c>
      <c r="I6" s="7">
        <v>0.0787037037037037</v>
      </c>
    </row>
    <row r="7" spans="2:9">
      <c r="B7" s="3" t="s">
        <v>6</v>
      </c>
      <c r="C7" s="4" t="s">
        <v>11</v>
      </c>
      <c r="D7" s="4" t="s">
        <v>8</v>
      </c>
      <c r="E7" s="4">
        <v>1099</v>
      </c>
      <c r="F7" s="4">
        <v>10</v>
      </c>
      <c r="H7" t="str">
        <v>Tripod</v>
      </c>
      <c r="I7" s="7">
        <v>0.274074074074074</v>
      </c>
    </row>
    <row r="8" spans="2:9">
      <c r="B8" s="3" t="s">
        <v>6</v>
      </c>
      <c r="C8" s="4" t="s">
        <v>14</v>
      </c>
      <c r="D8" s="4" t="s">
        <v>10</v>
      </c>
      <c r="E8" s="4">
        <v>1200</v>
      </c>
      <c r="F8" s="4">
        <v>15</v>
      </c>
      <c r="H8" t="str">
        <v>Grand totals</v>
      </c>
      <c r="I8" s="7">
        <v>1</v>
      </c>
    </row>
    <row r="9" spans="2:6">
      <c r="B9" s="3" t="s">
        <v>6</v>
      </c>
      <c r="C9" s="4" t="s">
        <v>15</v>
      </c>
      <c r="D9" s="4" t="s">
        <v>12</v>
      </c>
      <c r="E9" s="4">
        <v>45000</v>
      </c>
      <c r="F9" s="4">
        <v>25</v>
      </c>
    </row>
    <row r="10" spans="2:6">
      <c r="B10" s="3" t="s">
        <v>6</v>
      </c>
      <c r="C10" s="4" t="s">
        <v>7</v>
      </c>
      <c r="D10" s="4" t="s">
        <v>13</v>
      </c>
      <c r="E10" s="4">
        <v>5000</v>
      </c>
      <c r="F10" s="4">
        <v>43</v>
      </c>
    </row>
    <row r="11" spans="2:6">
      <c r="B11" s="3" t="s">
        <v>16</v>
      </c>
      <c r="C11" s="4" t="s">
        <v>9</v>
      </c>
      <c r="D11" s="4" t="s">
        <v>8</v>
      </c>
      <c r="E11" s="4">
        <v>1399</v>
      </c>
      <c r="F11" s="4">
        <v>50</v>
      </c>
    </row>
    <row r="12" spans="2:6">
      <c r="B12" s="3" t="s">
        <v>16</v>
      </c>
      <c r="C12" s="4" t="s">
        <v>11</v>
      </c>
      <c r="D12" s="4" t="s">
        <v>10</v>
      </c>
      <c r="E12" s="4">
        <v>1099</v>
      </c>
      <c r="F12" s="4">
        <v>90</v>
      </c>
    </row>
    <row r="13" spans="2:6">
      <c r="B13" s="3" t="s">
        <v>16</v>
      </c>
      <c r="C13" s="4" t="s">
        <v>14</v>
      </c>
      <c r="D13" s="4" t="s">
        <v>12</v>
      </c>
      <c r="E13" s="4">
        <v>1200</v>
      </c>
      <c r="F13" s="4">
        <v>70</v>
      </c>
    </row>
    <row r="14" spans="2:6">
      <c r="B14" s="3" t="s">
        <v>17</v>
      </c>
      <c r="C14" s="4" t="s">
        <v>15</v>
      </c>
      <c r="D14" s="4" t="s">
        <v>13</v>
      </c>
      <c r="E14" s="4">
        <v>45000</v>
      </c>
      <c r="F14" s="4">
        <v>75</v>
      </c>
    </row>
    <row r="15" spans="2:6">
      <c r="B15" s="3" t="s">
        <v>17</v>
      </c>
      <c r="C15" s="4" t="s">
        <v>7</v>
      </c>
      <c r="D15" s="4" t="s">
        <v>8</v>
      </c>
      <c r="E15" s="4">
        <v>5000</v>
      </c>
      <c r="F15" s="4">
        <v>34</v>
      </c>
    </row>
    <row r="16" spans="2:6">
      <c r="B16" s="3" t="s">
        <v>17</v>
      </c>
      <c r="C16" s="4" t="s">
        <v>7</v>
      </c>
      <c r="D16" s="4" t="s">
        <v>10</v>
      </c>
      <c r="E16" s="4">
        <v>1399</v>
      </c>
      <c r="F16" s="4">
        <v>66</v>
      </c>
    </row>
    <row r="17" spans="2:6">
      <c r="B17" s="3" t="s">
        <v>17</v>
      </c>
      <c r="C17" s="4" t="s">
        <v>7</v>
      </c>
      <c r="D17" s="4" t="s">
        <v>12</v>
      </c>
      <c r="E17" s="4">
        <v>1099</v>
      </c>
      <c r="F17" s="4">
        <v>65</v>
      </c>
    </row>
    <row r="18" spans="2:6">
      <c r="B18" s="3" t="s">
        <v>17</v>
      </c>
      <c r="C18" s="4" t="s">
        <v>7</v>
      </c>
      <c r="D18" s="4" t="s">
        <v>13</v>
      </c>
      <c r="E18" s="4">
        <v>1200</v>
      </c>
      <c r="F18" s="4">
        <v>67</v>
      </c>
    </row>
    <row r="19" spans="2:6">
      <c r="B19" s="3" t="s">
        <v>17</v>
      </c>
      <c r="C19" s="4" t="s">
        <v>15</v>
      </c>
      <c r="D19" s="4" t="s">
        <v>8</v>
      </c>
      <c r="E19" s="4">
        <v>45000</v>
      </c>
      <c r="F19" s="4">
        <v>87</v>
      </c>
    </row>
    <row r="20" spans="2:6">
      <c r="B20" s="3" t="s">
        <v>18</v>
      </c>
      <c r="C20" s="4" t="s">
        <v>7</v>
      </c>
      <c r="D20" s="4" t="s">
        <v>10</v>
      </c>
      <c r="E20" s="4">
        <v>5000</v>
      </c>
      <c r="F20" s="4">
        <v>77</v>
      </c>
    </row>
    <row r="21" spans="2:6">
      <c r="B21" s="3" t="s">
        <v>18</v>
      </c>
      <c r="C21" s="5" t="s">
        <v>9</v>
      </c>
      <c r="D21" s="5" t="s">
        <v>12</v>
      </c>
      <c r="E21" s="5">
        <v>1399</v>
      </c>
      <c r="F21" s="5">
        <v>150</v>
      </c>
    </row>
    <row r="22" spans="2:6">
      <c r="B22" s="3" t="s">
        <v>18</v>
      </c>
      <c r="C22" s="5" t="s">
        <v>9</v>
      </c>
      <c r="D22" s="5" t="s">
        <v>12</v>
      </c>
      <c r="E22" s="4">
        <v>2799</v>
      </c>
      <c r="F22" s="4">
        <v>1</v>
      </c>
    </row>
    <row r="23" spans="2:6">
      <c r="B23" s="3" t="s">
        <v>18</v>
      </c>
      <c r="C23" s="4" t="s">
        <v>9</v>
      </c>
      <c r="D23" s="4" t="s">
        <v>12</v>
      </c>
      <c r="E23" s="4">
        <v>200</v>
      </c>
      <c r="F23" s="4">
        <v>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3"/>
  <sheetViews>
    <sheetView topLeftCell="D1" workbookViewId="0">
      <selection activeCell="H4" sqref="H4"/>
    </sheetView>
  </sheetViews>
  <sheetFormatPr defaultColWidth="9" defaultRowHeight="17.4"/>
  <cols>
    <col min="3" max="3" width="14.6944444444444" customWidth="1"/>
    <col min="8" max="9" width="10.4583333333333" customWidth="1"/>
  </cols>
  <sheetData>
    <row r="2" spans="2:9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H2" s="2" t="s">
        <v>2</v>
      </c>
      <c r="I2" s="2" t="s">
        <v>4</v>
      </c>
    </row>
    <row r="3" spans="2:9">
      <c r="B3" s="3" t="s">
        <v>6</v>
      </c>
      <c r="C3" s="4" t="s">
        <v>7</v>
      </c>
      <c r="D3" s="4" t="s">
        <v>8</v>
      </c>
      <c r="E3" s="4">
        <v>1200</v>
      </c>
      <c r="F3" s="4">
        <v>20</v>
      </c>
      <c r="H3" t="str" cm="1">
        <f t="array" ref="H3:I7">_xlfn.GROUPBY(D3:D23,F3:F23,_xleta.SUM)</f>
        <v>East</v>
      </c>
      <c r="I3">
        <v>201</v>
      </c>
    </row>
    <row r="4" spans="2:9">
      <c r="B4" s="3" t="s">
        <v>6</v>
      </c>
      <c r="C4" s="4" t="s">
        <v>9</v>
      </c>
      <c r="D4" s="4" t="s">
        <v>10</v>
      </c>
      <c r="E4" s="4">
        <v>45000</v>
      </c>
      <c r="F4" s="4">
        <v>30</v>
      </c>
      <c r="H4" t="str">
        <v>North</v>
      </c>
      <c r="I4">
        <v>371</v>
      </c>
    </row>
    <row r="5" spans="2:9">
      <c r="B5" s="3" t="s">
        <v>6</v>
      </c>
      <c r="C5" s="4" t="s">
        <v>11</v>
      </c>
      <c r="D5" s="4" t="s">
        <v>12</v>
      </c>
      <c r="E5" s="4">
        <v>5000</v>
      </c>
      <c r="F5" s="4">
        <v>40</v>
      </c>
      <c r="H5" t="str">
        <v>South</v>
      </c>
      <c r="I5">
        <v>230</v>
      </c>
    </row>
    <row r="6" spans="2:9">
      <c r="B6" s="3" t="s">
        <v>6</v>
      </c>
      <c r="C6" s="4" t="s">
        <v>9</v>
      </c>
      <c r="D6" s="4" t="s">
        <v>13</v>
      </c>
      <c r="E6" s="4">
        <v>1399</v>
      </c>
      <c r="F6" s="4">
        <v>45</v>
      </c>
      <c r="H6" t="str">
        <v>West</v>
      </c>
      <c r="I6">
        <v>278</v>
      </c>
    </row>
    <row r="7" spans="2:9">
      <c r="B7" s="3" t="s">
        <v>6</v>
      </c>
      <c r="C7" s="4" t="s">
        <v>11</v>
      </c>
      <c r="D7" s="4" t="s">
        <v>8</v>
      </c>
      <c r="E7" s="4">
        <v>1099</v>
      </c>
      <c r="F7" s="4">
        <v>10</v>
      </c>
      <c r="H7" t="str">
        <v>Grand totals</v>
      </c>
      <c r="I7">
        <v>1080</v>
      </c>
    </row>
    <row r="8" spans="2:6">
      <c r="B8" s="3" t="s">
        <v>6</v>
      </c>
      <c r="C8" s="4" t="s">
        <v>14</v>
      </c>
      <c r="D8" s="4" t="s">
        <v>10</v>
      </c>
      <c r="E8" s="4">
        <v>1200</v>
      </c>
      <c r="F8" s="4">
        <v>15</v>
      </c>
    </row>
    <row r="9" spans="2:6">
      <c r="B9" s="3" t="s">
        <v>6</v>
      </c>
      <c r="C9" s="4" t="s">
        <v>15</v>
      </c>
      <c r="D9" s="4" t="s">
        <v>12</v>
      </c>
      <c r="E9" s="4">
        <v>45000</v>
      </c>
      <c r="F9" s="4">
        <v>25</v>
      </c>
    </row>
    <row r="10" spans="2:6">
      <c r="B10" s="3" t="s">
        <v>6</v>
      </c>
      <c r="C10" s="4" t="s">
        <v>7</v>
      </c>
      <c r="D10" s="4" t="s">
        <v>13</v>
      </c>
      <c r="E10" s="4">
        <v>5000</v>
      </c>
      <c r="F10" s="4">
        <v>43</v>
      </c>
    </row>
    <row r="11" spans="2:6">
      <c r="B11" s="3" t="s">
        <v>16</v>
      </c>
      <c r="C11" s="4" t="s">
        <v>9</v>
      </c>
      <c r="D11" s="4" t="s">
        <v>8</v>
      </c>
      <c r="E11" s="4">
        <v>1399</v>
      </c>
      <c r="F11" s="4">
        <v>50</v>
      </c>
    </row>
    <row r="12" spans="2:6">
      <c r="B12" s="3" t="s">
        <v>16</v>
      </c>
      <c r="C12" s="4" t="s">
        <v>11</v>
      </c>
      <c r="D12" s="4" t="s">
        <v>10</v>
      </c>
      <c r="E12" s="4">
        <v>1099</v>
      </c>
      <c r="F12" s="4">
        <v>90</v>
      </c>
    </row>
    <row r="13" spans="2:6">
      <c r="B13" s="3" t="s">
        <v>16</v>
      </c>
      <c r="C13" s="4" t="s">
        <v>14</v>
      </c>
      <c r="D13" s="4" t="s">
        <v>12</v>
      </c>
      <c r="E13" s="4">
        <v>1200</v>
      </c>
      <c r="F13" s="4">
        <v>70</v>
      </c>
    </row>
    <row r="14" spans="2:6">
      <c r="B14" s="3" t="s">
        <v>17</v>
      </c>
      <c r="C14" s="4" t="s">
        <v>15</v>
      </c>
      <c r="D14" s="4" t="s">
        <v>13</v>
      </c>
      <c r="E14" s="4">
        <v>45000</v>
      </c>
      <c r="F14" s="4">
        <v>75</v>
      </c>
    </row>
    <row r="15" spans="2:6">
      <c r="B15" s="3" t="s">
        <v>17</v>
      </c>
      <c r="C15" s="4" t="s">
        <v>7</v>
      </c>
      <c r="D15" s="4" t="s">
        <v>8</v>
      </c>
      <c r="E15" s="4">
        <v>5000</v>
      </c>
      <c r="F15" s="4">
        <v>34</v>
      </c>
    </row>
    <row r="16" spans="2:6">
      <c r="B16" s="3" t="s">
        <v>17</v>
      </c>
      <c r="C16" s="4" t="s">
        <v>7</v>
      </c>
      <c r="D16" s="4" t="s">
        <v>10</v>
      </c>
      <c r="E16" s="4">
        <v>1399</v>
      </c>
      <c r="F16" s="4">
        <v>66</v>
      </c>
    </row>
    <row r="17" spans="2:6">
      <c r="B17" s="3" t="s">
        <v>17</v>
      </c>
      <c r="C17" s="4" t="s">
        <v>7</v>
      </c>
      <c r="D17" s="4" t="s">
        <v>12</v>
      </c>
      <c r="E17" s="4">
        <v>1099</v>
      </c>
      <c r="F17" s="4">
        <v>65</v>
      </c>
    </row>
    <row r="18" spans="2:6">
      <c r="B18" s="3" t="s">
        <v>17</v>
      </c>
      <c r="C18" s="4" t="s">
        <v>7</v>
      </c>
      <c r="D18" s="4" t="s">
        <v>13</v>
      </c>
      <c r="E18" s="4">
        <v>1200</v>
      </c>
      <c r="F18" s="4">
        <v>67</v>
      </c>
    </row>
    <row r="19" spans="2:6">
      <c r="B19" s="3" t="s">
        <v>17</v>
      </c>
      <c r="C19" s="4" t="s">
        <v>15</v>
      </c>
      <c r="D19" s="4" t="s">
        <v>8</v>
      </c>
      <c r="E19" s="4">
        <v>45000</v>
      </c>
      <c r="F19" s="4">
        <v>87</v>
      </c>
    </row>
    <row r="20" spans="2:6">
      <c r="B20" s="3" t="s">
        <v>18</v>
      </c>
      <c r="C20" s="4" t="s">
        <v>7</v>
      </c>
      <c r="D20" s="4" t="s">
        <v>10</v>
      </c>
      <c r="E20" s="4">
        <v>5000</v>
      </c>
      <c r="F20" s="4">
        <v>77</v>
      </c>
    </row>
    <row r="21" spans="2:6">
      <c r="B21" s="3" t="s">
        <v>18</v>
      </c>
      <c r="C21" s="5" t="s">
        <v>9</v>
      </c>
      <c r="D21" s="5" t="s">
        <v>12</v>
      </c>
      <c r="E21" s="5">
        <v>1399</v>
      </c>
      <c r="F21" s="5">
        <v>150</v>
      </c>
    </row>
    <row r="22" spans="2:6">
      <c r="B22" s="3" t="s">
        <v>18</v>
      </c>
      <c r="C22" s="5" t="s">
        <v>9</v>
      </c>
      <c r="D22" s="5" t="s">
        <v>12</v>
      </c>
      <c r="E22" s="4">
        <v>2799</v>
      </c>
      <c r="F22" s="4">
        <v>1</v>
      </c>
    </row>
    <row r="23" spans="2:6">
      <c r="B23" s="3" t="s">
        <v>18</v>
      </c>
      <c r="C23" s="4" t="s">
        <v>9</v>
      </c>
      <c r="D23" s="4" t="s">
        <v>12</v>
      </c>
      <c r="E23" s="4">
        <v>200</v>
      </c>
      <c r="F23" s="4">
        <v>20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3"/>
  <sheetViews>
    <sheetView tabSelected="1" topLeftCell="F1" workbookViewId="0">
      <selection activeCell="J5" sqref="J5"/>
    </sheetView>
  </sheetViews>
  <sheetFormatPr defaultColWidth="9" defaultRowHeight="17.4"/>
  <cols>
    <col min="3" max="3" width="14.6944444444444" customWidth="1"/>
    <col min="8" max="8" width="9.82638888888889" customWidth="1"/>
    <col min="9" max="9" width="17.9652777777778" customWidth="1"/>
  </cols>
  <sheetData>
    <row r="2" spans="2:10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H2" s="1" t="s">
        <v>0</v>
      </c>
      <c r="I2" s="2" t="s">
        <v>1</v>
      </c>
      <c r="J2" s="2" t="s">
        <v>4</v>
      </c>
    </row>
    <row r="3" spans="2:8">
      <c r="B3" s="3" t="s">
        <v>6</v>
      </c>
      <c r="C3" s="4" t="s">
        <v>7</v>
      </c>
      <c r="D3" s="4" t="s">
        <v>8</v>
      </c>
      <c r="E3" s="4">
        <v>1200</v>
      </c>
      <c r="F3" s="4">
        <v>20</v>
      </c>
      <c r="H3" vm="1" t="e" cm="1">
        <f ca="1" t="array" ref="H3">_xlfn.GROUPBY(B3:C23,F3:F23,_xleta.SUM)</f>
        <v>#VALUE!</v>
      </c>
    </row>
    <row r="4" spans="2:6">
      <c r="B4" s="3" t="s">
        <v>6</v>
      </c>
      <c r="C4" s="4" t="s">
        <v>9</v>
      </c>
      <c r="D4" s="4" t="s">
        <v>10</v>
      </c>
      <c r="E4" s="4">
        <v>45000</v>
      </c>
      <c r="F4" s="4">
        <v>30</v>
      </c>
    </row>
    <row r="5" spans="2:10">
      <c r="B5" s="3" t="s">
        <v>6</v>
      </c>
      <c r="C5" s="4" t="s">
        <v>11</v>
      </c>
      <c r="D5" s="4" t="s">
        <v>12</v>
      </c>
      <c r="E5" s="4">
        <v>5000</v>
      </c>
      <c r="F5" s="4">
        <v>40</v>
      </c>
      <c r="J5" t="s">
        <v>4</v>
      </c>
    </row>
    <row r="6" spans="2:6">
      <c r="B6" s="3" t="s">
        <v>6</v>
      </c>
      <c r="C6" s="4" t="s">
        <v>9</v>
      </c>
      <c r="D6" s="4" t="s">
        <v>13</v>
      </c>
      <c r="E6" s="4">
        <v>1399</v>
      </c>
      <c r="F6" s="4">
        <v>45</v>
      </c>
    </row>
    <row r="7" spans="2:6">
      <c r="B7" s="3" t="s">
        <v>6</v>
      </c>
      <c r="C7" s="4" t="s">
        <v>11</v>
      </c>
      <c r="D7" s="4" t="s">
        <v>8</v>
      </c>
      <c r="E7" s="4">
        <v>1099</v>
      </c>
      <c r="F7" s="4">
        <v>10</v>
      </c>
    </row>
    <row r="8" spans="2:6">
      <c r="B8" s="3" t="s">
        <v>6</v>
      </c>
      <c r="C8" s="4" t="s">
        <v>14</v>
      </c>
      <c r="D8" s="4" t="s">
        <v>10</v>
      </c>
      <c r="E8" s="4">
        <v>1200</v>
      </c>
      <c r="F8" s="4">
        <v>15</v>
      </c>
    </row>
    <row r="9" spans="2:6">
      <c r="B9" s="3" t="s">
        <v>6</v>
      </c>
      <c r="C9" s="4" t="s">
        <v>15</v>
      </c>
      <c r="D9" s="4" t="s">
        <v>12</v>
      </c>
      <c r="E9" s="4">
        <v>45000</v>
      </c>
      <c r="F9" s="4">
        <v>25</v>
      </c>
    </row>
    <row r="10" spans="2:6">
      <c r="B10" s="3" t="s">
        <v>6</v>
      </c>
      <c r="C10" s="4" t="s">
        <v>7</v>
      </c>
      <c r="D10" s="4" t="s">
        <v>13</v>
      </c>
      <c r="E10" s="4">
        <v>5000</v>
      </c>
      <c r="F10" s="4">
        <v>43</v>
      </c>
    </row>
    <row r="11" spans="2:6">
      <c r="B11" s="3" t="s">
        <v>16</v>
      </c>
      <c r="C11" s="4" t="s">
        <v>9</v>
      </c>
      <c r="D11" s="4" t="s">
        <v>8</v>
      </c>
      <c r="E11" s="4">
        <v>1399</v>
      </c>
      <c r="F11" s="4">
        <v>50</v>
      </c>
    </row>
    <row r="12" spans="2:6">
      <c r="B12" s="3" t="s">
        <v>16</v>
      </c>
      <c r="C12" s="4" t="s">
        <v>11</v>
      </c>
      <c r="D12" s="4" t="s">
        <v>10</v>
      </c>
      <c r="E12" s="4">
        <v>1099</v>
      </c>
      <c r="F12" s="4">
        <v>90</v>
      </c>
    </row>
    <row r="13" spans="2:6">
      <c r="B13" s="3" t="s">
        <v>16</v>
      </c>
      <c r="C13" s="4" t="s">
        <v>14</v>
      </c>
      <c r="D13" s="4" t="s">
        <v>12</v>
      </c>
      <c r="E13" s="4">
        <v>1200</v>
      </c>
      <c r="F13" s="4">
        <v>70</v>
      </c>
    </row>
    <row r="14" spans="2:6">
      <c r="B14" s="3" t="s">
        <v>17</v>
      </c>
      <c r="C14" s="4" t="s">
        <v>15</v>
      </c>
      <c r="D14" s="4" t="s">
        <v>13</v>
      </c>
      <c r="E14" s="4">
        <v>45000</v>
      </c>
      <c r="F14" s="4">
        <v>75</v>
      </c>
    </row>
    <row r="15" spans="2:6">
      <c r="B15" s="3" t="s">
        <v>17</v>
      </c>
      <c r="C15" s="4" t="s">
        <v>7</v>
      </c>
      <c r="D15" s="4" t="s">
        <v>8</v>
      </c>
      <c r="E15" s="4">
        <v>5000</v>
      </c>
      <c r="F15" s="4">
        <v>34</v>
      </c>
    </row>
    <row r="16" spans="2:6">
      <c r="B16" s="3" t="s">
        <v>17</v>
      </c>
      <c r="C16" s="4" t="s">
        <v>7</v>
      </c>
      <c r="D16" s="4" t="s">
        <v>10</v>
      </c>
      <c r="E16" s="4">
        <v>1399</v>
      </c>
      <c r="F16" s="4">
        <v>66</v>
      </c>
    </row>
    <row r="17" spans="2:6">
      <c r="B17" s="3" t="s">
        <v>17</v>
      </c>
      <c r="C17" s="4" t="s">
        <v>7</v>
      </c>
      <c r="D17" s="4" t="s">
        <v>12</v>
      </c>
      <c r="E17" s="4">
        <v>1099</v>
      </c>
      <c r="F17" s="4">
        <v>65</v>
      </c>
    </row>
    <row r="18" spans="2:6">
      <c r="B18" s="3" t="s">
        <v>17</v>
      </c>
      <c r="C18" s="4" t="s">
        <v>7</v>
      </c>
      <c r="D18" s="4" t="s">
        <v>13</v>
      </c>
      <c r="E18" s="4">
        <v>1200</v>
      </c>
      <c r="F18" s="4">
        <v>67</v>
      </c>
    </row>
    <row r="19" spans="2:6">
      <c r="B19" s="3" t="s">
        <v>17</v>
      </c>
      <c r="C19" s="4" t="s">
        <v>15</v>
      </c>
      <c r="D19" s="4" t="s">
        <v>8</v>
      </c>
      <c r="E19" s="4">
        <v>45000</v>
      </c>
      <c r="F19" s="4">
        <v>87</v>
      </c>
    </row>
    <row r="20" spans="2:6">
      <c r="B20" s="3" t="s">
        <v>18</v>
      </c>
      <c r="C20" s="4" t="s">
        <v>7</v>
      </c>
      <c r="D20" s="4" t="s">
        <v>10</v>
      </c>
      <c r="E20" s="4">
        <v>5000</v>
      </c>
      <c r="F20" s="4">
        <v>77</v>
      </c>
    </row>
    <row r="21" spans="2:6">
      <c r="B21" s="3" t="s">
        <v>18</v>
      </c>
      <c r="C21" s="5" t="s">
        <v>9</v>
      </c>
      <c r="D21" s="5" t="s">
        <v>12</v>
      </c>
      <c r="E21" s="5">
        <v>1399</v>
      </c>
      <c r="F21" s="5">
        <v>150</v>
      </c>
    </row>
    <row r="22" spans="2:6">
      <c r="B22" s="3" t="s">
        <v>18</v>
      </c>
      <c r="C22" s="5" t="s">
        <v>9</v>
      </c>
      <c r="D22" s="5" t="s">
        <v>12</v>
      </c>
      <c r="E22" s="4">
        <v>2799</v>
      </c>
      <c r="F22" s="4">
        <v>1</v>
      </c>
    </row>
    <row r="23" spans="2:6">
      <c r="B23" s="3" t="s">
        <v>18</v>
      </c>
      <c r="C23" s="4" t="s">
        <v>9</v>
      </c>
      <c r="D23" s="4" t="s">
        <v>12</v>
      </c>
      <c r="E23" s="4">
        <v>200</v>
      </c>
      <c r="F23" s="4">
        <v>20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3"/>
  <sheetViews>
    <sheetView workbookViewId="0">
      <selection activeCell="H4" sqref="H4"/>
    </sheetView>
  </sheetViews>
  <sheetFormatPr defaultColWidth="9" defaultRowHeight="17.4"/>
  <cols>
    <col min="3" max="3" width="14.6944444444444" customWidth="1"/>
    <col min="8" max="9" width="9.82638888888889" customWidth="1"/>
  </cols>
  <sheetData>
    <row r="2" spans="2:10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H2" s="1" t="s">
        <v>0</v>
      </c>
      <c r="I2" s="2" t="s">
        <v>2</v>
      </c>
      <c r="J2" s="2" t="s">
        <v>4</v>
      </c>
    </row>
    <row r="3" spans="2:10">
      <c r="B3" s="3" t="s">
        <v>6</v>
      </c>
      <c r="C3" s="4" t="s">
        <v>7</v>
      </c>
      <c r="D3" s="4" t="s">
        <v>8</v>
      </c>
      <c r="E3" s="4">
        <v>1200</v>
      </c>
      <c r="F3" s="4">
        <v>20</v>
      </c>
      <c r="H3" t="str" cm="1">
        <f t="array" ref="H3:J16">_xlfn.GROUPBY(CHOOSE({1,2},B3:B23,D3:D23),F3:F23,_xleta.SUM)</f>
        <v>Apr</v>
      </c>
      <c r="I3" t="str">
        <v>North</v>
      </c>
      <c r="J3">
        <v>171</v>
      </c>
    </row>
    <row r="4" spans="2:10">
      <c r="B4" s="3" t="s">
        <v>6</v>
      </c>
      <c r="C4" s="4" t="s">
        <v>9</v>
      </c>
      <c r="D4" s="4" t="s">
        <v>10</v>
      </c>
      <c r="E4" s="4">
        <v>45000</v>
      </c>
      <c r="F4" s="4">
        <v>30</v>
      </c>
      <c r="H4" t="str">
        <v>Apr</v>
      </c>
      <c r="I4" t="str">
        <v>West</v>
      </c>
      <c r="J4">
        <v>77</v>
      </c>
    </row>
    <row r="5" spans="2:10">
      <c r="B5" s="3" t="s">
        <v>6</v>
      </c>
      <c r="C5" s="4" t="s">
        <v>11</v>
      </c>
      <c r="D5" s="4" t="s">
        <v>12</v>
      </c>
      <c r="E5" s="4">
        <v>5000</v>
      </c>
      <c r="F5" s="4">
        <v>40</v>
      </c>
      <c r="H5" t="str">
        <v>Feb</v>
      </c>
      <c r="I5" t="str">
        <v>East</v>
      </c>
      <c r="J5">
        <v>50</v>
      </c>
    </row>
    <row r="6" spans="2:10">
      <c r="B6" s="3" t="s">
        <v>6</v>
      </c>
      <c r="C6" s="4" t="s">
        <v>9</v>
      </c>
      <c r="D6" s="4" t="s">
        <v>13</v>
      </c>
      <c r="E6" s="4">
        <v>1399</v>
      </c>
      <c r="F6" s="4">
        <v>45</v>
      </c>
      <c r="H6" t="str">
        <v>Feb</v>
      </c>
      <c r="I6" t="str">
        <v>North</v>
      </c>
      <c r="J6">
        <v>70</v>
      </c>
    </row>
    <row r="7" spans="2:10">
      <c r="B7" s="3" t="s">
        <v>6</v>
      </c>
      <c r="C7" s="4" t="s">
        <v>11</v>
      </c>
      <c r="D7" s="4" t="s">
        <v>8</v>
      </c>
      <c r="E7" s="4">
        <v>1099</v>
      </c>
      <c r="F7" s="4">
        <v>10</v>
      </c>
      <c r="H7" t="str">
        <v>Feb</v>
      </c>
      <c r="I7" t="str">
        <v>West</v>
      </c>
      <c r="J7">
        <v>90</v>
      </c>
    </row>
    <row r="8" spans="2:10">
      <c r="B8" s="3" t="s">
        <v>6</v>
      </c>
      <c r="C8" s="4" t="s">
        <v>14</v>
      </c>
      <c r="D8" s="4" t="s">
        <v>10</v>
      </c>
      <c r="E8" s="4">
        <v>1200</v>
      </c>
      <c r="F8" s="4">
        <v>15</v>
      </c>
      <c r="H8" t="str">
        <v>Jan</v>
      </c>
      <c r="I8" t="str">
        <v>East</v>
      </c>
      <c r="J8">
        <v>30</v>
      </c>
    </row>
    <row r="9" spans="2:10">
      <c r="B9" s="3" t="s">
        <v>6</v>
      </c>
      <c r="C9" s="4" t="s">
        <v>15</v>
      </c>
      <c r="D9" s="4" t="s">
        <v>12</v>
      </c>
      <c r="E9" s="4">
        <v>45000</v>
      </c>
      <c r="F9" s="4">
        <v>25</v>
      </c>
      <c r="H9" t="str">
        <v>Jan</v>
      </c>
      <c r="I9" t="str">
        <v>North</v>
      </c>
      <c r="J9">
        <v>65</v>
      </c>
    </row>
    <row r="10" spans="2:10">
      <c r="B10" s="3" t="s">
        <v>6</v>
      </c>
      <c r="C10" s="4" t="s">
        <v>7</v>
      </c>
      <c r="D10" s="4" t="s">
        <v>13</v>
      </c>
      <c r="E10" s="4">
        <v>5000</v>
      </c>
      <c r="F10" s="4">
        <v>43</v>
      </c>
      <c r="H10" t="str">
        <v>Jan</v>
      </c>
      <c r="I10" t="str">
        <v>South</v>
      </c>
      <c r="J10">
        <v>88</v>
      </c>
    </row>
    <row r="11" spans="2:10">
      <c r="B11" s="3" t="s">
        <v>16</v>
      </c>
      <c r="C11" s="4" t="s">
        <v>9</v>
      </c>
      <c r="D11" s="4" t="s">
        <v>8</v>
      </c>
      <c r="E11" s="4">
        <v>1399</v>
      </c>
      <c r="F11" s="4">
        <v>50</v>
      </c>
      <c r="H11" t="str">
        <v>Jan</v>
      </c>
      <c r="I11" t="str">
        <v>West</v>
      </c>
      <c r="J11">
        <v>45</v>
      </c>
    </row>
    <row r="12" spans="2:10">
      <c r="B12" s="3" t="s">
        <v>16</v>
      </c>
      <c r="C12" s="4" t="s">
        <v>11</v>
      </c>
      <c r="D12" s="4" t="s">
        <v>10</v>
      </c>
      <c r="E12" s="4">
        <v>1099</v>
      </c>
      <c r="F12" s="4">
        <v>90</v>
      </c>
      <c r="H12" t="str">
        <v>Mar</v>
      </c>
      <c r="I12" t="str">
        <v>East</v>
      </c>
      <c r="J12">
        <v>121</v>
      </c>
    </row>
    <row r="13" spans="2:10">
      <c r="B13" s="3" t="s">
        <v>16</v>
      </c>
      <c r="C13" s="4" t="s">
        <v>14</v>
      </c>
      <c r="D13" s="4" t="s">
        <v>12</v>
      </c>
      <c r="E13" s="4">
        <v>1200</v>
      </c>
      <c r="F13" s="4">
        <v>70</v>
      </c>
      <c r="H13" t="str">
        <v>Mar</v>
      </c>
      <c r="I13" t="str">
        <v>North</v>
      </c>
      <c r="J13">
        <v>65</v>
      </c>
    </row>
    <row r="14" spans="2:10">
      <c r="B14" s="3" t="s">
        <v>17</v>
      </c>
      <c r="C14" s="4" t="s">
        <v>15</v>
      </c>
      <c r="D14" s="4" t="s">
        <v>13</v>
      </c>
      <c r="E14" s="4">
        <v>45000</v>
      </c>
      <c r="F14" s="4">
        <v>75</v>
      </c>
      <c r="H14" t="str">
        <v>Mar</v>
      </c>
      <c r="I14" t="str">
        <v>South</v>
      </c>
      <c r="J14">
        <v>142</v>
      </c>
    </row>
    <row r="15" spans="2:10">
      <c r="B15" s="3" t="s">
        <v>17</v>
      </c>
      <c r="C15" s="4" t="s">
        <v>7</v>
      </c>
      <c r="D15" s="4" t="s">
        <v>8</v>
      </c>
      <c r="E15" s="4">
        <v>5000</v>
      </c>
      <c r="F15" s="4">
        <v>34</v>
      </c>
      <c r="H15" t="str">
        <v>Mar</v>
      </c>
      <c r="I15" t="str">
        <v>West</v>
      </c>
      <c r="J15">
        <v>66</v>
      </c>
    </row>
    <row r="16" spans="2:10">
      <c r="B16" s="3" t="s">
        <v>17</v>
      </c>
      <c r="C16" s="4" t="s">
        <v>7</v>
      </c>
      <c r="D16" s="4" t="s">
        <v>10</v>
      </c>
      <c r="E16" s="4">
        <v>1399</v>
      </c>
      <c r="F16" s="4">
        <v>66</v>
      </c>
      <c r="H16" t="str">
        <v>Grand totals</v>
      </c>
      <c r="I16" t="str">
        <v/>
      </c>
      <c r="J16">
        <v>1080</v>
      </c>
    </row>
    <row r="17" spans="2:6">
      <c r="B17" s="3" t="s">
        <v>17</v>
      </c>
      <c r="C17" s="4" t="s">
        <v>7</v>
      </c>
      <c r="D17" s="4" t="s">
        <v>12</v>
      </c>
      <c r="E17" s="4">
        <v>1099</v>
      </c>
      <c r="F17" s="4">
        <v>65</v>
      </c>
    </row>
    <row r="18" spans="2:6">
      <c r="B18" s="3" t="s">
        <v>17</v>
      </c>
      <c r="C18" s="4" t="s">
        <v>7</v>
      </c>
      <c r="D18" s="4" t="s">
        <v>13</v>
      </c>
      <c r="E18" s="4">
        <v>1200</v>
      </c>
      <c r="F18" s="4">
        <v>67</v>
      </c>
    </row>
    <row r="19" spans="2:6">
      <c r="B19" s="3" t="s">
        <v>17</v>
      </c>
      <c r="C19" s="4" t="s">
        <v>15</v>
      </c>
      <c r="D19" s="4" t="s">
        <v>8</v>
      </c>
      <c r="E19" s="4">
        <v>45000</v>
      </c>
      <c r="F19" s="4">
        <v>87</v>
      </c>
    </row>
    <row r="20" spans="2:6">
      <c r="B20" s="3" t="s">
        <v>18</v>
      </c>
      <c r="C20" s="4" t="s">
        <v>7</v>
      </c>
      <c r="D20" s="4" t="s">
        <v>10</v>
      </c>
      <c r="E20" s="4">
        <v>5000</v>
      </c>
      <c r="F20" s="4">
        <v>77</v>
      </c>
    </row>
    <row r="21" spans="2:6">
      <c r="B21" s="3" t="s">
        <v>18</v>
      </c>
      <c r="C21" s="5" t="s">
        <v>9</v>
      </c>
      <c r="D21" s="5" t="s">
        <v>12</v>
      </c>
      <c r="E21" s="5">
        <v>1399</v>
      </c>
      <c r="F21" s="5">
        <v>150</v>
      </c>
    </row>
    <row r="22" spans="2:6">
      <c r="B22" s="3" t="s">
        <v>18</v>
      </c>
      <c r="C22" s="5" t="s">
        <v>9</v>
      </c>
      <c r="D22" s="5" t="s">
        <v>12</v>
      </c>
      <c r="E22" s="4">
        <v>2799</v>
      </c>
      <c r="F22" s="4">
        <v>1</v>
      </c>
    </row>
    <row r="23" spans="2:6">
      <c r="B23" s="3" t="s">
        <v>18</v>
      </c>
      <c r="C23" s="4" t="s">
        <v>9</v>
      </c>
      <c r="D23" s="4" t="s">
        <v>12</v>
      </c>
      <c r="E23" s="4">
        <v>200</v>
      </c>
      <c r="F23" s="4">
        <v>20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3"/>
  <sheetViews>
    <sheetView workbookViewId="0">
      <selection activeCell="H4" sqref="H4"/>
    </sheetView>
  </sheetViews>
  <sheetFormatPr defaultColWidth="9" defaultRowHeight="17.4"/>
  <cols>
    <col min="3" max="3" width="14.6944444444444" customWidth="1"/>
  </cols>
  <sheetData>
    <row r="2" spans="2:6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9">
      <c r="B3" s="3" t="s">
        <v>6</v>
      </c>
      <c r="C3" s="4" t="s">
        <v>7</v>
      </c>
      <c r="D3" s="4" t="s">
        <v>8</v>
      </c>
      <c r="E3" s="4">
        <v>1200</v>
      </c>
      <c r="F3" s="4">
        <v>20</v>
      </c>
      <c r="H3" t="str" cm="1">
        <f t="array" ref="H3:I8">_xlfn.GROUPBY(C2:C23,F2:F23,_xleta.SUM,1)</f>
        <v>Laptop</v>
      </c>
      <c r="I3">
        <v>187</v>
      </c>
    </row>
    <row r="4" spans="2:9">
      <c r="B4" s="3" t="s">
        <v>6</v>
      </c>
      <c r="C4" s="4" t="s">
        <v>9</v>
      </c>
      <c r="D4" s="4" t="s">
        <v>10</v>
      </c>
      <c r="E4" s="4">
        <v>45000</v>
      </c>
      <c r="F4" s="4">
        <v>30</v>
      </c>
      <c r="H4" t="str">
        <v>Mic.</v>
      </c>
      <c r="I4">
        <v>372</v>
      </c>
    </row>
    <row r="5" spans="2:9">
      <c r="B5" s="3" t="s">
        <v>6</v>
      </c>
      <c r="C5" s="4" t="s">
        <v>11</v>
      </c>
      <c r="D5" s="4" t="s">
        <v>12</v>
      </c>
      <c r="E5" s="4">
        <v>5000</v>
      </c>
      <c r="F5" s="4">
        <v>40</v>
      </c>
      <c r="H5" t="str">
        <v>RGB Keyboard</v>
      </c>
      <c r="I5">
        <v>140</v>
      </c>
    </row>
    <row r="6" spans="2:9">
      <c r="B6" s="3" t="s">
        <v>6</v>
      </c>
      <c r="C6" s="4" t="s">
        <v>9</v>
      </c>
      <c r="D6" s="4" t="s">
        <v>13</v>
      </c>
      <c r="E6" s="4">
        <v>1399</v>
      </c>
      <c r="F6" s="4">
        <v>45</v>
      </c>
      <c r="H6" t="str">
        <v>Ring Light</v>
      </c>
      <c r="I6">
        <v>85</v>
      </c>
    </row>
    <row r="7" spans="2:9">
      <c r="B7" s="3" t="s">
        <v>6</v>
      </c>
      <c r="C7" s="4" t="s">
        <v>11</v>
      </c>
      <c r="D7" s="4" t="s">
        <v>8</v>
      </c>
      <c r="E7" s="4">
        <v>1099</v>
      </c>
      <c r="F7" s="4">
        <v>10</v>
      </c>
      <c r="H7" t="str">
        <v>Tripod</v>
      </c>
      <c r="I7">
        <v>296</v>
      </c>
    </row>
    <row r="8" spans="2:9">
      <c r="B8" s="3" t="s">
        <v>6</v>
      </c>
      <c r="C8" s="4" t="s">
        <v>14</v>
      </c>
      <c r="D8" s="4" t="s">
        <v>10</v>
      </c>
      <c r="E8" s="4">
        <v>1200</v>
      </c>
      <c r="F8" s="4">
        <v>15</v>
      </c>
      <c r="H8" t="str">
        <v>Grand totals</v>
      </c>
      <c r="I8">
        <v>1080</v>
      </c>
    </row>
    <row r="9" spans="2:6">
      <c r="B9" s="3" t="s">
        <v>6</v>
      </c>
      <c r="C9" s="4" t="s">
        <v>15</v>
      </c>
      <c r="D9" s="4" t="s">
        <v>12</v>
      </c>
      <c r="E9" s="4">
        <v>45000</v>
      </c>
      <c r="F9" s="4">
        <v>25</v>
      </c>
    </row>
    <row r="10" spans="2:6">
      <c r="B10" s="3" t="s">
        <v>6</v>
      </c>
      <c r="C10" s="4" t="s">
        <v>7</v>
      </c>
      <c r="D10" s="4" t="s">
        <v>13</v>
      </c>
      <c r="E10" s="4">
        <v>5000</v>
      </c>
      <c r="F10" s="4">
        <v>43</v>
      </c>
    </row>
    <row r="11" spans="2:6">
      <c r="B11" s="3" t="s">
        <v>16</v>
      </c>
      <c r="C11" s="4" t="s">
        <v>9</v>
      </c>
      <c r="D11" s="4" t="s">
        <v>8</v>
      </c>
      <c r="E11" s="4">
        <v>1399</v>
      </c>
      <c r="F11" s="4">
        <v>50</v>
      </c>
    </row>
    <row r="12" spans="2:6">
      <c r="B12" s="3" t="s">
        <v>16</v>
      </c>
      <c r="C12" s="4" t="s">
        <v>11</v>
      </c>
      <c r="D12" s="4" t="s">
        <v>10</v>
      </c>
      <c r="E12" s="4">
        <v>1099</v>
      </c>
      <c r="F12" s="4">
        <v>90</v>
      </c>
    </row>
    <row r="13" spans="2:6">
      <c r="B13" s="3" t="s">
        <v>16</v>
      </c>
      <c r="C13" s="4" t="s">
        <v>14</v>
      </c>
      <c r="D13" s="4" t="s">
        <v>12</v>
      </c>
      <c r="E13" s="4">
        <v>1200</v>
      </c>
      <c r="F13" s="4">
        <v>70</v>
      </c>
    </row>
    <row r="14" spans="2:6">
      <c r="B14" s="3" t="s">
        <v>17</v>
      </c>
      <c r="C14" s="4" t="s">
        <v>15</v>
      </c>
      <c r="D14" s="4" t="s">
        <v>13</v>
      </c>
      <c r="E14" s="4">
        <v>45000</v>
      </c>
      <c r="F14" s="4">
        <v>75</v>
      </c>
    </row>
    <row r="15" spans="2:6">
      <c r="B15" s="3" t="s">
        <v>17</v>
      </c>
      <c r="C15" s="4" t="s">
        <v>7</v>
      </c>
      <c r="D15" s="4" t="s">
        <v>8</v>
      </c>
      <c r="E15" s="4">
        <v>5000</v>
      </c>
      <c r="F15" s="4">
        <v>34</v>
      </c>
    </row>
    <row r="16" spans="2:6">
      <c r="B16" s="3" t="s">
        <v>17</v>
      </c>
      <c r="C16" s="4" t="s">
        <v>7</v>
      </c>
      <c r="D16" s="4" t="s">
        <v>10</v>
      </c>
      <c r="E16" s="4">
        <v>1399</v>
      </c>
      <c r="F16" s="4">
        <v>66</v>
      </c>
    </row>
    <row r="17" spans="2:6">
      <c r="B17" s="3" t="s">
        <v>17</v>
      </c>
      <c r="C17" s="4" t="s">
        <v>7</v>
      </c>
      <c r="D17" s="4" t="s">
        <v>12</v>
      </c>
      <c r="E17" s="4">
        <v>1099</v>
      </c>
      <c r="F17" s="4">
        <v>65</v>
      </c>
    </row>
    <row r="18" spans="2:6">
      <c r="B18" s="3" t="s">
        <v>17</v>
      </c>
      <c r="C18" s="4" t="s">
        <v>7</v>
      </c>
      <c r="D18" s="4" t="s">
        <v>13</v>
      </c>
      <c r="E18" s="4">
        <v>1200</v>
      </c>
      <c r="F18" s="4">
        <v>67</v>
      </c>
    </row>
    <row r="19" spans="2:6">
      <c r="B19" s="3" t="s">
        <v>17</v>
      </c>
      <c r="C19" s="4" t="s">
        <v>15</v>
      </c>
      <c r="D19" s="4" t="s">
        <v>8</v>
      </c>
      <c r="E19" s="4">
        <v>45000</v>
      </c>
      <c r="F19" s="4">
        <v>87</v>
      </c>
    </row>
    <row r="20" spans="2:6">
      <c r="B20" s="3" t="s">
        <v>18</v>
      </c>
      <c r="C20" s="4" t="s">
        <v>7</v>
      </c>
      <c r="D20" s="4" t="s">
        <v>10</v>
      </c>
      <c r="E20" s="4">
        <v>5000</v>
      </c>
      <c r="F20" s="4">
        <v>77</v>
      </c>
    </row>
    <row r="21" spans="2:6">
      <c r="B21" s="3" t="s">
        <v>18</v>
      </c>
      <c r="C21" s="5" t="s">
        <v>9</v>
      </c>
      <c r="D21" s="5" t="s">
        <v>12</v>
      </c>
      <c r="E21" s="5">
        <v>1399</v>
      </c>
      <c r="F21" s="5">
        <v>150</v>
      </c>
    </row>
    <row r="22" spans="2:6">
      <c r="B22" s="3" t="s">
        <v>18</v>
      </c>
      <c r="C22" s="5" t="s">
        <v>9</v>
      </c>
      <c r="D22" s="5" t="s">
        <v>12</v>
      </c>
      <c r="E22" s="4">
        <v>2799</v>
      </c>
      <c r="F22" s="4">
        <v>1</v>
      </c>
    </row>
    <row r="23" spans="2:6">
      <c r="B23" s="3" t="s">
        <v>18</v>
      </c>
      <c r="C23" s="4" t="s">
        <v>9</v>
      </c>
      <c r="D23" s="4" t="s">
        <v>12</v>
      </c>
      <c r="E23" s="4">
        <v>200</v>
      </c>
      <c r="F23" s="4">
        <v>20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3"/>
  <sheetViews>
    <sheetView workbookViewId="0">
      <selection activeCell="H4" sqref="H4"/>
    </sheetView>
  </sheetViews>
  <sheetFormatPr defaultColWidth="9" defaultRowHeight="17.4"/>
  <cols>
    <col min="3" max="3" width="14.6944444444444" customWidth="1"/>
    <col min="8" max="9" width="9.82638888888889" customWidth="1"/>
  </cols>
  <sheetData>
    <row r="2" spans="2:8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H2" s="1" t="s">
        <v>0</v>
      </c>
    </row>
    <row r="3" spans="2:8">
      <c r="B3" s="3" t="s">
        <v>6</v>
      </c>
      <c r="C3" s="4" t="s">
        <v>7</v>
      </c>
      <c r="D3" s="4" t="s">
        <v>8</v>
      </c>
      <c r="E3" s="4">
        <v>1200</v>
      </c>
      <c r="F3" s="4">
        <v>20</v>
      </c>
      <c r="H3" t="s">
        <v>19</v>
      </c>
    </row>
    <row r="4" spans="2:6">
      <c r="B4" s="3" t="s">
        <v>6</v>
      </c>
      <c r="C4" s="4" t="s">
        <v>9</v>
      </c>
      <c r="D4" s="4" t="s">
        <v>10</v>
      </c>
      <c r="E4" s="4">
        <v>45000</v>
      </c>
      <c r="F4" s="4">
        <v>30</v>
      </c>
    </row>
    <row r="5" spans="2:10">
      <c r="B5" s="3" t="s">
        <v>6</v>
      </c>
      <c r="C5" s="4" t="s">
        <v>11</v>
      </c>
      <c r="D5" s="4" t="s">
        <v>12</v>
      </c>
      <c r="E5" s="4">
        <v>5000</v>
      </c>
      <c r="F5" s="4">
        <v>40</v>
      </c>
      <c r="H5" s="1" t="s">
        <v>0</v>
      </c>
      <c r="I5" s="2" t="s">
        <v>1</v>
      </c>
      <c r="J5" s="2" t="s">
        <v>4</v>
      </c>
    </row>
    <row r="6" spans="2:10">
      <c r="B6" s="3" t="s">
        <v>6</v>
      </c>
      <c r="C6" s="4" t="s">
        <v>9</v>
      </c>
      <c r="D6" s="4" t="s">
        <v>13</v>
      </c>
      <c r="E6" s="4">
        <v>1399</v>
      </c>
      <c r="F6" s="4">
        <v>45</v>
      </c>
      <c r="H6" t="str" cm="1">
        <f t="array" ref="H6:J9">_xlfn.GROUPBY(B3:C23,F3:F23,_xleta.SUM,,,,B3:B23=H3)</f>
        <v>Feb</v>
      </c>
      <c r="I6" t="str">
        <v>RGB Keyboard</v>
      </c>
      <c r="J6">
        <v>90</v>
      </c>
    </row>
    <row r="7" spans="2:10">
      <c r="B7" s="3" t="s">
        <v>6</v>
      </c>
      <c r="C7" s="4" t="s">
        <v>11</v>
      </c>
      <c r="D7" s="4" t="s">
        <v>8</v>
      </c>
      <c r="E7" s="4">
        <v>1099</v>
      </c>
      <c r="F7" s="4">
        <v>10</v>
      </c>
      <c r="H7" t="str">
        <v>Feb</v>
      </c>
      <c r="I7" t="str">
        <v>Ring Light</v>
      </c>
      <c r="J7">
        <v>70</v>
      </c>
    </row>
    <row r="8" spans="2:10">
      <c r="B8" s="3" t="s">
        <v>6</v>
      </c>
      <c r="C8" s="4" t="s">
        <v>14</v>
      </c>
      <c r="D8" s="4" t="s">
        <v>10</v>
      </c>
      <c r="E8" s="4">
        <v>1200</v>
      </c>
      <c r="F8" s="4">
        <v>15</v>
      </c>
      <c r="H8" t="str">
        <v>Feb</v>
      </c>
      <c r="I8" t="str">
        <v>Tripod</v>
      </c>
      <c r="J8">
        <v>50</v>
      </c>
    </row>
    <row r="9" spans="2:10">
      <c r="B9" s="3" t="s">
        <v>6</v>
      </c>
      <c r="C9" s="4" t="s">
        <v>15</v>
      </c>
      <c r="D9" s="4" t="s">
        <v>12</v>
      </c>
      <c r="E9" s="4">
        <v>45000</v>
      </c>
      <c r="F9" s="4">
        <v>25</v>
      </c>
      <c r="H9" t="str">
        <v>Grand totals</v>
      </c>
      <c r="I9" t="str">
        <v/>
      </c>
      <c r="J9">
        <v>210</v>
      </c>
    </row>
    <row r="10" spans="2:6">
      <c r="B10" s="3" t="s">
        <v>6</v>
      </c>
      <c r="C10" s="4" t="s">
        <v>7</v>
      </c>
      <c r="D10" s="4" t="s">
        <v>13</v>
      </c>
      <c r="E10" s="4">
        <v>5000</v>
      </c>
      <c r="F10" s="4">
        <v>43</v>
      </c>
    </row>
    <row r="11" spans="2:6">
      <c r="B11" s="3" t="s">
        <v>16</v>
      </c>
      <c r="C11" s="4" t="s">
        <v>9</v>
      </c>
      <c r="D11" s="4" t="s">
        <v>8</v>
      </c>
      <c r="E11" s="4">
        <v>1399</v>
      </c>
      <c r="F11" s="4">
        <v>50</v>
      </c>
    </row>
    <row r="12" spans="2:6">
      <c r="B12" s="3" t="s">
        <v>16</v>
      </c>
      <c r="C12" s="4" t="s">
        <v>11</v>
      </c>
      <c r="D12" s="4" t="s">
        <v>10</v>
      </c>
      <c r="E12" s="4">
        <v>1099</v>
      </c>
      <c r="F12" s="4">
        <v>90</v>
      </c>
    </row>
    <row r="13" spans="2:6">
      <c r="B13" s="3" t="s">
        <v>16</v>
      </c>
      <c r="C13" s="4" t="s">
        <v>14</v>
      </c>
      <c r="D13" s="4" t="s">
        <v>12</v>
      </c>
      <c r="E13" s="4">
        <v>1200</v>
      </c>
      <c r="F13" s="4">
        <v>70</v>
      </c>
    </row>
    <row r="14" spans="2:6">
      <c r="B14" s="3" t="s">
        <v>17</v>
      </c>
      <c r="C14" s="4" t="s">
        <v>15</v>
      </c>
      <c r="D14" s="4" t="s">
        <v>13</v>
      </c>
      <c r="E14" s="4">
        <v>45000</v>
      </c>
      <c r="F14" s="4">
        <v>75</v>
      </c>
    </row>
    <row r="15" spans="2:6">
      <c r="B15" s="3" t="s">
        <v>17</v>
      </c>
      <c r="C15" s="4" t="s">
        <v>7</v>
      </c>
      <c r="D15" s="4" t="s">
        <v>8</v>
      </c>
      <c r="E15" s="4">
        <v>5000</v>
      </c>
      <c r="F15" s="4">
        <v>34</v>
      </c>
    </row>
    <row r="16" spans="2:6">
      <c r="B16" s="3" t="s">
        <v>17</v>
      </c>
      <c r="C16" s="4" t="s">
        <v>7</v>
      </c>
      <c r="D16" s="4" t="s">
        <v>10</v>
      </c>
      <c r="E16" s="4">
        <v>1399</v>
      </c>
      <c r="F16" s="4">
        <v>66</v>
      </c>
    </row>
    <row r="17" spans="2:6">
      <c r="B17" s="3" t="s">
        <v>17</v>
      </c>
      <c r="C17" s="4" t="s">
        <v>7</v>
      </c>
      <c r="D17" s="4" t="s">
        <v>12</v>
      </c>
      <c r="E17" s="4">
        <v>1099</v>
      </c>
      <c r="F17" s="4">
        <v>65</v>
      </c>
    </row>
    <row r="18" spans="2:6">
      <c r="B18" s="3" t="s">
        <v>17</v>
      </c>
      <c r="C18" s="4" t="s">
        <v>7</v>
      </c>
      <c r="D18" s="4" t="s">
        <v>13</v>
      </c>
      <c r="E18" s="4">
        <v>1200</v>
      </c>
      <c r="F18" s="4">
        <v>67</v>
      </c>
    </row>
    <row r="19" spans="2:6">
      <c r="B19" s="3" t="s">
        <v>17</v>
      </c>
      <c r="C19" s="4" t="s">
        <v>15</v>
      </c>
      <c r="D19" s="4" t="s">
        <v>8</v>
      </c>
      <c r="E19" s="4">
        <v>45000</v>
      </c>
      <c r="F19" s="4">
        <v>87</v>
      </c>
    </row>
    <row r="20" spans="2:6">
      <c r="B20" s="3" t="s">
        <v>18</v>
      </c>
      <c r="C20" s="4" t="s">
        <v>7</v>
      </c>
      <c r="D20" s="4" t="s">
        <v>10</v>
      </c>
      <c r="E20" s="4">
        <v>5000</v>
      </c>
      <c r="F20" s="4">
        <v>77</v>
      </c>
    </row>
    <row r="21" spans="2:6">
      <c r="B21" s="3" t="s">
        <v>18</v>
      </c>
      <c r="C21" s="5" t="s">
        <v>9</v>
      </c>
      <c r="D21" s="5" t="s">
        <v>12</v>
      </c>
      <c r="E21" s="5">
        <v>1399</v>
      </c>
      <c r="F21" s="5">
        <v>150</v>
      </c>
    </row>
    <row r="22" spans="2:6">
      <c r="B22" s="3" t="s">
        <v>18</v>
      </c>
      <c r="C22" s="5" t="s">
        <v>9</v>
      </c>
      <c r="D22" s="5" t="s">
        <v>12</v>
      </c>
      <c r="E22" s="4">
        <v>2799</v>
      </c>
      <c r="F22" s="4">
        <v>1</v>
      </c>
    </row>
    <row r="23" spans="2:6">
      <c r="B23" s="3" t="s">
        <v>18</v>
      </c>
      <c r="C23" s="4" t="s">
        <v>9</v>
      </c>
      <c r="D23" s="4" t="s">
        <v>12</v>
      </c>
      <c r="E23" s="4">
        <v>200</v>
      </c>
      <c r="F23" s="4">
        <v>20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3"/>
  <sheetViews>
    <sheetView workbookViewId="0">
      <selection activeCell="H11" sqref="H11"/>
    </sheetView>
  </sheetViews>
  <sheetFormatPr defaultColWidth="9" defaultRowHeight="17.4"/>
  <cols>
    <col min="3" max="3" width="14.6944444444444" customWidth="1"/>
  </cols>
  <sheetData>
    <row r="2" spans="2:6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13">
      <c r="B3" s="3" t="s">
        <v>6</v>
      </c>
      <c r="C3" s="4" t="s">
        <v>7</v>
      </c>
      <c r="D3" s="4" t="s">
        <v>8</v>
      </c>
      <c r="E3" s="4">
        <v>1200</v>
      </c>
      <c r="F3" s="4">
        <v>20</v>
      </c>
      <c r="H3" t="str" cm="1">
        <f t="array" ref="H3:M8">_xlfn.PIVOTBY(B3:B23,D3:D23,F3:F23,_xleta.SUM)</f>
        <v/>
      </c>
      <c r="I3" t="str">
        <v>East</v>
      </c>
      <c r="J3" t="str">
        <v>North</v>
      </c>
      <c r="K3" t="str">
        <v>South</v>
      </c>
      <c r="L3" t="str">
        <v>West</v>
      </c>
      <c r="M3" t="str">
        <v>Grand totals</v>
      </c>
    </row>
    <row r="4" spans="2:13">
      <c r="B4" s="3" t="s">
        <v>6</v>
      </c>
      <c r="C4" s="4" t="s">
        <v>9</v>
      </c>
      <c r="D4" s="4" t="s">
        <v>10</v>
      </c>
      <c r="E4" s="4">
        <v>45000</v>
      </c>
      <c r="F4" s="4">
        <v>30</v>
      </c>
      <c r="H4" t="str">
        <v>Apr</v>
      </c>
      <c r="I4" t="str">
        <v/>
      </c>
      <c r="J4">
        <v>171</v>
      </c>
      <c r="K4" t="str">
        <v/>
      </c>
      <c r="L4">
        <v>77</v>
      </c>
      <c r="M4">
        <v>248</v>
      </c>
    </row>
    <row r="5" spans="2:13">
      <c r="B5" s="3" t="s">
        <v>6</v>
      </c>
      <c r="C5" s="4" t="s">
        <v>11</v>
      </c>
      <c r="D5" s="4" t="s">
        <v>12</v>
      </c>
      <c r="E5" s="4">
        <v>5000</v>
      </c>
      <c r="F5" s="4">
        <v>40</v>
      </c>
      <c r="H5" t="str">
        <v>Feb</v>
      </c>
      <c r="I5">
        <v>50</v>
      </c>
      <c r="J5">
        <v>70</v>
      </c>
      <c r="K5" t="str">
        <v/>
      </c>
      <c r="L5">
        <v>90</v>
      </c>
      <c r="M5">
        <v>210</v>
      </c>
    </row>
    <row r="6" spans="2:13">
      <c r="B6" s="3" t="s">
        <v>6</v>
      </c>
      <c r="C6" s="4" t="s">
        <v>9</v>
      </c>
      <c r="D6" s="4" t="s">
        <v>13</v>
      </c>
      <c r="E6" s="4">
        <v>1399</v>
      </c>
      <c r="F6" s="4">
        <v>45</v>
      </c>
      <c r="H6" t="str">
        <v>Jan</v>
      </c>
      <c r="I6">
        <v>30</v>
      </c>
      <c r="J6">
        <v>65</v>
      </c>
      <c r="K6">
        <v>88</v>
      </c>
      <c r="L6">
        <v>45</v>
      </c>
      <c r="M6">
        <v>228</v>
      </c>
    </row>
    <row r="7" spans="2:13">
      <c r="B7" s="3" t="s">
        <v>6</v>
      </c>
      <c r="C7" s="4" t="s">
        <v>11</v>
      </c>
      <c r="D7" s="4" t="s">
        <v>8</v>
      </c>
      <c r="E7" s="4">
        <v>1099</v>
      </c>
      <c r="F7" s="4">
        <v>10</v>
      </c>
      <c r="H7" t="str">
        <v>Mar</v>
      </c>
      <c r="I7">
        <v>121</v>
      </c>
      <c r="J7">
        <v>65</v>
      </c>
      <c r="K7">
        <v>142</v>
      </c>
      <c r="L7">
        <v>66</v>
      </c>
      <c r="M7">
        <v>394</v>
      </c>
    </row>
    <row r="8" spans="2:13">
      <c r="B8" s="3" t="s">
        <v>6</v>
      </c>
      <c r="C8" s="4" t="s">
        <v>14</v>
      </c>
      <c r="D8" s="4" t="s">
        <v>10</v>
      </c>
      <c r="E8" s="4">
        <v>1200</v>
      </c>
      <c r="F8" s="4">
        <v>15</v>
      </c>
      <c r="H8" t="str">
        <v>Grand totals</v>
      </c>
      <c r="I8">
        <v>201</v>
      </c>
      <c r="J8">
        <v>371</v>
      </c>
      <c r="K8">
        <v>230</v>
      </c>
      <c r="L8">
        <v>278</v>
      </c>
      <c r="M8">
        <v>1080</v>
      </c>
    </row>
    <row r="9" spans="2:6">
      <c r="B9" s="3" t="s">
        <v>6</v>
      </c>
      <c r="C9" s="4" t="s">
        <v>15</v>
      </c>
      <c r="D9" s="4" t="s">
        <v>12</v>
      </c>
      <c r="E9" s="4">
        <v>45000</v>
      </c>
      <c r="F9" s="4">
        <v>25</v>
      </c>
    </row>
    <row r="10" spans="2:6">
      <c r="B10" s="3" t="s">
        <v>6</v>
      </c>
      <c r="C10" s="4" t="s">
        <v>7</v>
      </c>
      <c r="D10" s="4" t="s">
        <v>13</v>
      </c>
      <c r="E10" s="4">
        <v>5000</v>
      </c>
      <c r="F10" s="4">
        <v>43</v>
      </c>
    </row>
    <row r="11" spans="2:13">
      <c r="B11" s="3" t="s">
        <v>16</v>
      </c>
      <c r="C11" s="4" t="s">
        <v>9</v>
      </c>
      <c r="D11" s="4" t="s">
        <v>8</v>
      </c>
      <c r="E11" s="4">
        <v>1399</v>
      </c>
      <c r="F11" s="4">
        <v>50</v>
      </c>
      <c r="H11" t="str" cm="1">
        <f t="array" ref="H11:M16">_xlfn.PIVOTBY(C3:C23,B3:B23,F3:F23,_xleta.SUM,,0)</f>
        <v/>
      </c>
      <c r="I11" t="str">
        <v>Apr</v>
      </c>
      <c r="J11" t="str">
        <v>Feb</v>
      </c>
      <c r="K11" t="str">
        <v>Jan</v>
      </c>
      <c r="L11" t="str">
        <v>Mar</v>
      </c>
      <c r="M11" t="str">
        <v>Grand totals</v>
      </c>
    </row>
    <row r="12" spans="2:13">
      <c r="B12" s="3" t="s">
        <v>16</v>
      </c>
      <c r="C12" s="4" t="s">
        <v>11</v>
      </c>
      <c r="D12" s="4" t="s">
        <v>10</v>
      </c>
      <c r="E12" s="4">
        <v>1099</v>
      </c>
      <c r="F12" s="4">
        <v>90</v>
      </c>
      <c r="H12" t="str">
        <v>Laptop</v>
      </c>
      <c r="I12" t="str">
        <v/>
      </c>
      <c r="J12" t="str">
        <v/>
      </c>
      <c r="K12">
        <v>25</v>
      </c>
      <c r="L12">
        <v>162</v>
      </c>
      <c r="M12">
        <v>187</v>
      </c>
    </row>
    <row r="13" spans="2:13">
      <c r="B13" s="3" t="s">
        <v>16</v>
      </c>
      <c r="C13" s="4" t="s">
        <v>14</v>
      </c>
      <c r="D13" s="4" t="s">
        <v>12</v>
      </c>
      <c r="E13" s="4">
        <v>1200</v>
      </c>
      <c r="F13" s="4">
        <v>70</v>
      </c>
      <c r="H13" t="str">
        <v>Mic.</v>
      </c>
      <c r="I13">
        <v>77</v>
      </c>
      <c r="J13" t="str">
        <v/>
      </c>
      <c r="K13">
        <v>63</v>
      </c>
      <c r="L13">
        <v>232</v>
      </c>
      <c r="M13">
        <v>372</v>
      </c>
    </row>
    <row r="14" spans="2:13">
      <c r="B14" s="3" t="s">
        <v>17</v>
      </c>
      <c r="C14" s="4" t="s">
        <v>15</v>
      </c>
      <c r="D14" s="4" t="s">
        <v>13</v>
      </c>
      <c r="E14" s="4">
        <v>45000</v>
      </c>
      <c r="F14" s="4">
        <v>75</v>
      </c>
      <c r="H14" t="str">
        <v>RGB Keyboard</v>
      </c>
      <c r="I14" t="str">
        <v/>
      </c>
      <c r="J14">
        <v>90</v>
      </c>
      <c r="K14">
        <v>50</v>
      </c>
      <c r="L14" t="str">
        <v/>
      </c>
      <c r="M14">
        <v>140</v>
      </c>
    </row>
    <row r="15" spans="2:13">
      <c r="B15" s="3" t="s">
        <v>17</v>
      </c>
      <c r="C15" s="4" t="s">
        <v>7</v>
      </c>
      <c r="D15" s="4" t="s">
        <v>8</v>
      </c>
      <c r="E15" s="4">
        <v>5000</v>
      </c>
      <c r="F15" s="4">
        <v>34</v>
      </c>
      <c r="H15" t="str">
        <v>Ring Light</v>
      </c>
      <c r="I15" t="str">
        <v/>
      </c>
      <c r="J15">
        <v>70</v>
      </c>
      <c r="K15">
        <v>15</v>
      </c>
      <c r="L15" t="str">
        <v/>
      </c>
      <c r="M15">
        <v>85</v>
      </c>
    </row>
    <row r="16" spans="2:13">
      <c r="B16" s="3" t="s">
        <v>17</v>
      </c>
      <c r="C16" s="4" t="s">
        <v>7</v>
      </c>
      <c r="D16" s="4" t="s">
        <v>10</v>
      </c>
      <c r="E16" s="4">
        <v>1399</v>
      </c>
      <c r="F16" s="4">
        <v>66</v>
      </c>
      <c r="H16" t="str">
        <v>Tripod</v>
      </c>
      <c r="I16">
        <v>171</v>
      </c>
      <c r="J16">
        <v>50</v>
      </c>
      <c r="K16">
        <v>75</v>
      </c>
      <c r="L16" t="str">
        <v/>
      </c>
      <c r="M16">
        <v>296</v>
      </c>
    </row>
    <row r="17" spans="2:6">
      <c r="B17" s="3" t="s">
        <v>17</v>
      </c>
      <c r="C17" s="4" t="s">
        <v>7</v>
      </c>
      <c r="D17" s="4" t="s">
        <v>12</v>
      </c>
      <c r="E17" s="4">
        <v>1099</v>
      </c>
      <c r="F17" s="4">
        <v>65</v>
      </c>
    </row>
    <row r="18" spans="2:6">
      <c r="B18" s="3" t="s">
        <v>17</v>
      </c>
      <c r="C18" s="4" t="s">
        <v>7</v>
      </c>
      <c r="D18" s="4" t="s">
        <v>13</v>
      </c>
      <c r="E18" s="4">
        <v>1200</v>
      </c>
      <c r="F18" s="4">
        <v>67</v>
      </c>
    </row>
    <row r="19" spans="2:6">
      <c r="B19" s="3" t="s">
        <v>17</v>
      </c>
      <c r="C19" s="4" t="s">
        <v>15</v>
      </c>
      <c r="D19" s="4" t="s">
        <v>8</v>
      </c>
      <c r="E19" s="4">
        <v>45000</v>
      </c>
      <c r="F19" s="4">
        <v>87</v>
      </c>
    </row>
    <row r="20" spans="2:6">
      <c r="B20" s="3" t="s">
        <v>18</v>
      </c>
      <c r="C20" s="4" t="s">
        <v>7</v>
      </c>
      <c r="D20" s="4" t="s">
        <v>10</v>
      </c>
      <c r="E20" s="4">
        <v>5000</v>
      </c>
      <c r="F20" s="4">
        <v>77</v>
      </c>
    </row>
    <row r="21" spans="2:6">
      <c r="B21" s="3" t="s">
        <v>18</v>
      </c>
      <c r="C21" s="5" t="s">
        <v>9</v>
      </c>
      <c r="D21" s="5" t="s">
        <v>12</v>
      </c>
      <c r="E21" s="5">
        <v>1399</v>
      </c>
      <c r="F21" s="5">
        <v>150</v>
      </c>
    </row>
    <row r="22" spans="2:6">
      <c r="B22" s="3" t="s">
        <v>18</v>
      </c>
      <c r="C22" s="5" t="s">
        <v>9</v>
      </c>
      <c r="D22" s="5" t="s">
        <v>12</v>
      </c>
      <c r="E22" s="4">
        <v>2799</v>
      </c>
      <c r="F22" s="4">
        <v>1</v>
      </c>
    </row>
    <row r="23" spans="2:6">
      <c r="B23" s="3" t="s">
        <v>18</v>
      </c>
      <c r="C23" s="4" t="s">
        <v>9</v>
      </c>
      <c r="D23" s="4" t="s">
        <v>12</v>
      </c>
      <c r="E23" s="4">
        <v>200</v>
      </c>
      <c r="F23" s="4">
        <v>20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3"/>
  <sheetViews>
    <sheetView topLeftCell="B1" workbookViewId="0">
      <selection activeCell="H3" sqref="H3"/>
    </sheetView>
  </sheetViews>
  <sheetFormatPr defaultColWidth="9" defaultRowHeight="17.4"/>
  <cols>
    <col min="3" max="3" width="14.6944444444444" customWidth="1"/>
  </cols>
  <sheetData>
    <row r="2" spans="2:6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14">
      <c r="B3" s="3" t="s">
        <v>6</v>
      </c>
      <c r="C3" s="4" t="s">
        <v>7</v>
      </c>
      <c r="D3" s="4" t="s">
        <v>8</v>
      </c>
      <c r="E3" s="4">
        <v>1200</v>
      </c>
      <c r="F3" s="4">
        <v>20</v>
      </c>
      <c r="H3" t="str" cm="1">
        <f t="array" ref="H3:N16">_xlfn.PIVOTBY(B3:C23,D3:D23,F3:F23,_xleta.SUM)</f>
        <v/>
      </c>
      <c r="I3" t="str">
        <v/>
      </c>
      <c r="J3" t="str">
        <v>East</v>
      </c>
      <c r="K3" t="str">
        <v>North</v>
      </c>
      <c r="L3" t="str">
        <v>South</v>
      </c>
      <c r="M3" t="str">
        <v>West</v>
      </c>
      <c r="N3" t="str">
        <v>Grand totals</v>
      </c>
    </row>
    <row r="4" spans="2:14">
      <c r="B4" s="3" t="s">
        <v>6</v>
      </c>
      <c r="C4" s="4" t="s">
        <v>9</v>
      </c>
      <c r="D4" s="4" t="s">
        <v>10</v>
      </c>
      <c r="E4" s="4">
        <v>45000</v>
      </c>
      <c r="F4" s="4">
        <v>30</v>
      </c>
      <c r="H4" t="str">
        <v>Apr</v>
      </c>
      <c r="I4" t="str">
        <v>Mic.</v>
      </c>
      <c r="J4" t="str">
        <v/>
      </c>
      <c r="K4" t="str">
        <v/>
      </c>
      <c r="L4" t="str">
        <v/>
      </c>
      <c r="M4">
        <v>77</v>
      </c>
      <c r="N4">
        <v>77</v>
      </c>
    </row>
    <row r="5" spans="2:14">
      <c r="B5" s="3" t="s">
        <v>6</v>
      </c>
      <c r="C5" s="4" t="s">
        <v>11</v>
      </c>
      <c r="D5" s="4" t="s">
        <v>12</v>
      </c>
      <c r="E5" s="4">
        <v>5000</v>
      </c>
      <c r="F5" s="4">
        <v>40</v>
      </c>
      <c r="H5" t="str">
        <v>Apr</v>
      </c>
      <c r="I5" t="str">
        <v>Tripod</v>
      </c>
      <c r="J5" t="str">
        <v/>
      </c>
      <c r="K5">
        <v>171</v>
      </c>
      <c r="L5" t="str">
        <v/>
      </c>
      <c r="M5" t="str">
        <v/>
      </c>
      <c r="N5">
        <v>171</v>
      </c>
    </row>
    <row r="6" spans="2:14">
      <c r="B6" s="3" t="s">
        <v>6</v>
      </c>
      <c r="C6" s="4" t="s">
        <v>9</v>
      </c>
      <c r="D6" s="4" t="s">
        <v>13</v>
      </c>
      <c r="E6" s="4">
        <v>1399</v>
      </c>
      <c r="F6" s="4">
        <v>45</v>
      </c>
      <c r="H6" t="str">
        <v>Feb</v>
      </c>
      <c r="I6" t="str">
        <v>RGB Keyboard</v>
      </c>
      <c r="J6" t="str">
        <v/>
      </c>
      <c r="K6" t="str">
        <v/>
      </c>
      <c r="L6" t="str">
        <v/>
      </c>
      <c r="M6">
        <v>90</v>
      </c>
      <c r="N6">
        <v>90</v>
      </c>
    </row>
    <row r="7" spans="2:14">
      <c r="B7" s="3" t="s">
        <v>6</v>
      </c>
      <c r="C7" s="4" t="s">
        <v>11</v>
      </c>
      <c r="D7" s="4" t="s">
        <v>8</v>
      </c>
      <c r="E7" s="4">
        <v>1099</v>
      </c>
      <c r="F7" s="4">
        <v>10</v>
      </c>
      <c r="H7" t="str">
        <v>Feb</v>
      </c>
      <c r="I7" t="str">
        <v>Ring Light</v>
      </c>
      <c r="J7" t="str">
        <v/>
      </c>
      <c r="K7">
        <v>70</v>
      </c>
      <c r="L7" t="str">
        <v/>
      </c>
      <c r="M7" t="str">
        <v/>
      </c>
      <c r="N7">
        <v>70</v>
      </c>
    </row>
    <row r="8" spans="2:14">
      <c r="B8" s="3" t="s">
        <v>6</v>
      </c>
      <c r="C8" s="4" t="s">
        <v>14</v>
      </c>
      <c r="D8" s="4" t="s">
        <v>10</v>
      </c>
      <c r="E8" s="4">
        <v>1200</v>
      </c>
      <c r="F8" s="4">
        <v>15</v>
      </c>
      <c r="H8" t="str">
        <v>Feb</v>
      </c>
      <c r="I8" t="str">
        <v>Tripod</v>
      </c>
      <c r="J8">
        <v>50</v>
      </c>
      <c r="K8" t="str">
        <v/>
      </c>
      <c r="L8" t="str">
        <v/>
      </c>
      <c r="M8" t="str">
        <v/>
      </c>
      <c r="N8">
        <v>50</v>
      </c>
    </row>
    <row r="9" spans="2:14">
      <c r="B9" s="3" t="s">
        <v>6</v>
      </c>
      <c r="C9" s="4" t="s">
        <v>15</v>
      </c>
      <c r="D9" s="4" t="s">
        <v>12</v>
      </c>
      <c r="E9" s="4">
        <v>45000</v>
      </c>
      <c r="F9" s="4">
        <v>25</v>
      </c>
      <c r="H9" t="str">
        <v>Jan</v>
      </c>
      <c r="I9" t="str">
        <v>Laptop</v>
      </c>
      <c r="J9" t="str">
        <v/>
      </c>
      <c r="K9">
        <v>25</v>
      </c>
      <c r="L9" t="str">
        <v/>
      </c>
      <c r="M9" t="str">
        <v/>
      </c>
      <c r="N9">
        <v>25</v>
      </c>
    </row>
    <row r="10" spans="2:14">
      <c r="B10" s="3" t="s">
        <v>6</v>
      </c>
      <c r="C10" s="4" t="s">
        <v>7</v>
      </c>
      <c r="D10" s="4" t="s">
        <v>13</v>
      </c>
      <c r="E10" s="4">
        <v>5000</v>
      </c>
      <c r="F10" s="4">
        <v>43</v>
      </c>
      <c r="H10" t="str">
        <v>Jan</v>
      </c>
      <c r="I10" t="str">
        <v>Mic.</v>
      </c>
      <c r="J10">
        <v>20</v>
      </c>
      <c r="K10" t="str">
        <v/>
      </c>
      <c r="L10">
        <v>43</v>
      </c>
      <c r="M10" t="str">
        <v/>
      </c>
      <c r="N10">
        <v>63</v>
      </c>
    </row>
    <row r="11" spans="2:14">
      <c r="B11" s="3" t="s">
        <v>16</v>
      </c>
      <c r="C11" s="4" t="s">
        <v>9</v>
      </c>
      <c r="D11" s="4" t="s">
        <v>8</v>
      </c>
      <c r="E11" s="4">
        <v>1399</v>
      </c>
      <c r="F11" s="4">
        <v>50</v>
      </c>
      <c r="H11" t="str">
        <v>Jan</v>
      </c>
      <c r="I11" t="str">
        <v>RGB Keyboard</v>
      </c>
      <c r="J11">
        <v>10</v>
      </c>
      <c r="K11">
        <v>40</v>
      </c>
      <c r="L11" t="str">
        <v/>
      </c>
      <c r="M11" t="str">
        <v/>
      </c>
      <c r="N11">
        <v>50</v>
      </c>
    </row>
    <row r="12" spans="2:14">
      <c r="B12" s="3" t="s">
        <v>16</v>
      </c>
      <c r="C12" s="4" t="s">
        <v>11</v>
      </c>
      <c r="D12" s="4" t="s">
        <v>10</v>
      </c>
      <c r="E12" s="4">
        <v>1099</v>
      </c>
      <c r="F12" s="4">
        <v>90</v>
      </c>
      <c r="H12" t="str">
        <v>Jan</v>
      </c>
      <c r="I12" t="str">
        <v>Ring Light</v>
      </c>
      <c r="J12" t="str">
        <v/>
      </c>
      <c r="K12" t="str">
        <v/>
      </c>
      <c r="L12" t="str">
        <v/>
      </c>
      <c r="M12">
        <v>15</v>
      </c>
      <c r="N12">
        <v>15</v>
      </c>
    </row>
    <row r="13" spans="2:14">
      <c r="B13" s="3" t="s">
        <v>16</v>
      </c>
      <c r="C13" s="4" t="s">
        <v>14</v>
      </c>
      <c r="D13" s="4" t="s">
        <v>12</v>
      </c>
      <c r="E13" s="4">
        <v>1200</v>
      </c>
      <c r="F13" s="4">
        <v>70</v>
      </c>
      <c r="H13" t="str">
        <v>Jan</v>
      </c>
      <c r="I13" t="str">
        <v>Tripod</v>
      </c>
      <c r="J13" t="str">
        <v/>
      </c>
      <c r="K13" t="str">
        <v/>
      </c>
      <c r="L13">
        <v>45</v>
      </c>
      <c r="M13">
        <v>30</v>
      </c>
      <c r="N13">
        <v>75</v>
      </c>
    </row>
    <row r="14" spans="2:14">
      <c r="B14" s="3" t="s">
        <v>17</v>
      </c>
      <c r="C14" s="4" t="s">
        <v>15</v>
      </c>
      <c r="D14" s="4" t="s">
        <v>13</v>
      </c>
      <c r="E14" s="4">
        <v>45000</v>
      </c>
      <c r="F14" s="4">
        <v>75</v>
      </c>
      <c r="H14" t="str">
        <v>Mar</v>
      </c>
      <c r="I14" t="str">
        <v>Laptop</v>
      </c>
      <c r="J14">
        <v>87</v>
      </c>
      <c r="K14" t="str">
        <v/>
      </c>
      <c r="L14">
        <v>75</v>
      </c>
      <c r="M14" t="str">
        <v/>
      </c>
      <c r="N14">
        <v>162</v>
      </c>
    </row>
    <row r="15" spans="2:14">
      <c r="B15" s="3" t="s">
        <v>17</v>
      </c>
      <c r="C15" s="4" t="s">
        <v>7</v>
      </c>
      <c r="D15" s="4" t="s">
        <v>8</v>
      </c>
      <c r="E15" s="4">
        <v>5000</v>
      </c>
      <c r="F15" s="4">
        <v>34</v>
      </c>
      <c r="H15" t="str">
        <v>Mar</v>
      </c>
      <c r="I15" t="str">
        <v>Mic.</v>
      </c>
      <c r="J15">
        <v>34</v>
      </c>
      <c r="K15">
        <v>65</v>
      </c>
      <c r="L15">
        <v>67</v>
      </c>
      <c r="M15">
        <v>66</v>
      </c>
      <c r="N15">
        <v>232</v>
      </c>
    </row>
    <row r="16" spans="2:14">
      <c r="B16" s="3" t="s">
        <v>17</v>
      </c>
      <c r="C16" s="4" t="s">
        <v>7</v>
      </c>
      <c r="D16" s="4" t="s">
        <v>10</v>
      </c>
      <c r="E16" s="4">
        <v>1399</v>
      </c>
      <c r="F16" s="4">
        <v>66</v>
      </c>
      <c r="H16" t="str">
        <v>Grand totals</v>
      </c>
      <c r="I16" t="str">
        <v/>
      </c>
      <c r="J16">
        <v>201</v>
      </c>
      <c r="K16">
        <v>371</v>
      </c>
      <c r="L16">
        <v>230</v>
      </c>
      <c r="M16">
        <v>278</v>
      </c>
      <c r="N16">
        <v>1080</v>
      </c>
    </row>
    <row r="17" spans="2:6">
      <c r="B17" s="3" t="s">
        <v>17</v>
      </c>
      <c r="C17" s="4" t="s">
        <v>7</v>
      </c>
      <c r="D17" s="4" t="s">
        <v>12</v>
      </c>
      <c r="E17" s="4">
        <v>1099</v>
      </c>
      <c r="F17" s="4">
        <v>65</v>
      </c>
    </row>
    <row r="18" spans="2:6">
      <c r="B18" s="3" t="s">
        <v>17</v>
      </c>
      <c r="C18" s="4" t="s">
        <v>7</v>
      </c>
      <c r="D18" s="4" t="s">
        <v>13</v>
      </c>
      <c r="E18" s="4">
        <v>1200</v>
      </c>
      <c r="F18" s="4">
        <v>67</v>
      </c>
    </row>
    <row r="19" spans="2:6">
      <c r="B19" s="3" t="s">
        <v>17</v>
      </c>
      <c r="C19" s="4" t="s">
        <v>15</v>
      </c>
      <c r="D19" s="4" t="s">
        <v>8</v>
      </c>
      <c r="E19" s="4">
        <v>45000</v>
      </c>
      <c r="F19" s="4">
        <v>87</v>
      </c>
    </row>
    <row r="20" spans="2:6">
      <c r="B20" s="3" t="s">
        <v>18</v>
      </c>
      <c r="C20" s="4" t="s">
        <v>7</v>
      </c>
      <c r="D20" s="4" t="s">
        <v>10</v>
      </c>
      <c r="E20" s="4">
        <v>5000</v>
      </c>
      <c r="F20" s="4">
        <v>77</v>
      </c>
    </row>
    <row r="21" spans="2:6">
      <c r="B21" s="3" t="s">
        <v>18</v>
      </c>
      <c r="C21" s="5" t="s">
        <v>9</v>
      </c>
      <c r="D21" s="5" t="s">
        <v>12</v>
      </c>
      <c r="E21" s="5">
        <v>1399</v>
      </c>
      <c r="F21" s="5">
        <v>150</v>
      </c>
    </row>
    <row r="22" spans="2:6">
      <c r="B22" s="3" t="s">
        <v>18</v>
      </c>
      <c r="C22" s="5" t="s">
        <v>9</v>
      </c>
      <c r="D22" s="5" t="s">
        <v>12</v>
      </c>
      <c r="E22" s="4">
        <v>2799</v>
      </c>
      <c r="F22" s="4">
        <v>1</v>
      </c>
    </row>
    <row r="23" spans="2:6">
      <c r="B23" s="3" t="s">
        <v>18</v>
      </c>
      <c r="C23" s="4" t="s">
        <v>9</v>
      </c>
      <c r="D23" s="4" t="s">
        <v>12</v>
      </c>
      <c r="E23" s="4">
        <v>200</v>
      </c>
      <c r="F23" s="4">
        <v>20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21" sqref="F21"/>
    </sheetView>
  </sheetViews>
  <sheetFormatPr defaultColWidth="9" defaultRowHeight="17.4"/>
  <sheetData/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1" sqref="G21"/>
    </sheetView>
  </sheetViews>
  <sheetFormatPr defaultColWidth="9" defaultRowHeight="17.4"/>
  <sheetData/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7.4"/>
  <sheetData/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7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Ex. 1</vt:lpstr>
      <vt:lpstr>Ex. 2</vt:lpstr>
      <vt:lpstr>Ex. 3</vt:lpstr>
      <vt:lpstr>Ex. 4</vt:lpstr>
      <vt:lpstr>Ex. 5</vt:lpstr>
      <vt:lpstr>Ex. 6</vt:lpstr>
      <vt:lpstr>Ex. 7</vt:lpstr>
      <vt:lpstr>Ex. 8</vt:lpstr>
      <vt:lpstr>Sheet7</vt:lpstr>
      <vt:lpstr>Sheet8</vt:lpstr>
      <vt:lpstr>Sheet9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nehra</dc:creator>
  <cp:lastModifiedBy>ASHWIN</cp:lastModifiedBy>
  <dcterms:created xsi:type="dcterms:W3CDTF">2024-06-12T13:24:00Z</dcterms:created>
  <dcterms:modified xsi:type="dcterms:W3CDTF">2025-08-09T12:09:30Z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DCAB64E2A93E42558A5C22E09A8562B0_12</vt:lpwstr>
  </property>
  <property fmtid="{D5CDD505-2E9C-101B-9397-08002B2CF9AE}" pid="3" name="KSOProductBuildVer">
    <vt:lpwstr>1033-12.2.0.21546</vt:lpwstr>
  </property>
</Properties>
</file>