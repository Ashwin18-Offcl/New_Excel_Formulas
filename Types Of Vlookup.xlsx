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542136C0-86A2-41A5-977B-4C0D16D7B0BE}" xr6:coauthVersionLast="47" xr6:coauthVersionMax="47" xr10:uidLastSave="{00000000-0000-0000-0000-000000000000}"/>
  <bookViews>
    <workbookView xWindow="-108" yWindow="-108" windowWidth="23256" windowHeight="13896" firstSheet="6" activeTab="7" xr2:uid="{3E13DBD8-C77D-4FDC-AFF2-B1D86743CB5D}"/>
  </bookViews>
  <sheets>
    <sheet name="Nested Vlookup" sheetId="1" r:id="rId1"/>
    <sheet name="Vlookup With Multiple Columns" sheetId="5" r:id="rId2"/>
    <sheet name="Vlookup With If" sheetId="2" r:id="rId3"/>
    <sheet name="Vlookup With Match" sheetId="3" r:id="rId4"/>
    <sheet name="Vlookup With Index" sheetId="8" r:id="rId5"/>
    <sheet name="Vlookup With Multiple Sheet" sheetId="6" r:id="rId6"/>
    <sheet name="Switch Function" sheetId="12" r:id="rId7"/>
    <sheet name="Vlookup" sheetId="13" r:id="rId8"/>
    <sheet name="Jan" sheetId="14" r:id="rId9"/>
    <sheet name="Feb" sheetId="15" r:id="rId10"/>
    <sheet name="Mar" sheetId="16" r:id="rId11"/>
    <sheet name="Apr" sheetId="17" r:id="rId12"/>
    <sheet name="May" sheetId="18" r:id="rId13"/>
    <sheet name="Jun" sheetId="19" r:id="rId14"/>
    <sheet name="Jul" sheetId="20" r:id="rId15"/>
    <sheet name="Vlookup With IFERROR" sheetId="4" r:id="rId16"/>
    <sheet name="Vlookup With Choose" sheetId="7" r:id="rId17"/>
    <sheet name="Vlookup With Another Sheet" sheetId="9" r:id="rId18"/>
    <sheet name="Data" sheetId="10" r:id="rId19"/>
    <sheet name="Vlookup With Concatenate" sheetId="1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0" l="1"/>
  <c r="F4" i="20"/>
  <c r="F5" i="20"/>
  <c r="F6" i="20"/>
  <c r="F7" i="20"/>
  <c r="F8" i="20"/>
  <c r="F9" i="20"/>
  <c r="F10" i="20"/>
  <c r="F11" i="20"/>
  <c r="F12" i="20"/>
  <c r="F13" i="20"/>
  <c r="F14" i="20"/>
  <c r="F15" i="20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D9" i="13"/>
  <c r="E9" i="13"/>
  <c r="F9" i="13"/>
  <c r="G9" i="13"/>
  <c r="E3" i="12" a="1"/>
  <c r="E3" i="12" s="1"/>
  <c r="A36" i="8" a="1"/>
  <c r="A36" i="8" s="1"/>
  <c r="A14" i="8" a="1"/>
  <c r="A14" i="8" s="1"/>
  <c r="A11" i="9"/>
  <c r="A15" i="4"/>
  <c r="D19" i="7"/>
  <c r="J11" i="2"/>
  <c r="F2" i="2"/>
  <c r="J17" i="3"/>
  <c r="I17" i="3"/>
  <c r="I18" i="3"/>
  <c r="I19" i="3"/>
  <c r="I20" i="3"/>
  <c r="I16" i="3"/>
  <c r="J16" i="3"/>
  <c r="H16" i="3"/>
  <c r="H17" i="3"/>
  <c r="H18" i="3"/>
  <c r="H19" i="3"/>
  <c r="H20" i="3"/>
  <c r="O6" i="5" a="1"/>
  <c r="O6" i="5" s="1"/>
  <c r="O5" i="5" a="1"/>
  <c r="O5" i="5" s="1"/>
  <c r="O7" i="5" a="1"/>
  <c r="O7" i="5" s="1"/>
  <c r="O8" i="5" a="1"/>
  <c r="O8" i="5"/>
  <c r="O9" i="5" a="1"/>
  <c r="O9" i="5"/>
  <c r="O10" i="5" a="1"/>
  <c r="O10" i="5" s="1"/>
  <c r="O11" i="5" a="1"/>
  <c r="O11" i="5" s="1"/>
  <c r="O12" i="5" a="1"/>
  <c r="O12" i="5" s="1"/>
  <c r="O13" i="5" a="1"/>
  <c r="O13" i="5" s="1"/>
  <c r="O14" i="5" a="1"/>
  <c r="O14" i="5" s="1"/>
  <c r="B46" i="1"/>
  <c r="B16" i="3"/>
  <c r="D3" i="5" a="1"/>
  <c r="D3" i="5" s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<sst xmlns="http://schemas.openxmlformats.org/spreadsheetml/2006/main" count="602" uniqueCount="260">
  <si>
    <t>CATEGORY</t>
  </si>
  <si>
    <t>AMOUNT</t>
  </si>
  <si>
    <t>MOBILE</t>
  </si>
  <si>
    <t>TABLE 1</t>
  </si>
  <si>
    <t>PRODUCT</t>
  </si>
  <si>
    <t>LAPTOP</t>
  </si>
  <si>
    <t>AC</t>
  </si>
  <si>
    <t>VIVO</t>
  </si>
  <si>
    <t>ASUS</t>
  </si>
  <si>
    <t>LG</t>
  </si>
  <si>
    <t>TABLE 2</t>
  </si>
  <si>
    <t>SAMSUNG</t>
  </si>
  <si>
    <t>OPPO</t>
  </si>
  <si>
    <t>More examples of nested vlookup</t>
  </si>
  <si>
    <t>Vlookup with Multiple Columns</t>
  </si>
  <si>
    <t>Salesman</t>
  </si>
  <si>
    <t>Jan</t>
  </si>
  <si>
    <t>Feb</t>
  </si>
  <si>
    <t>Mar</t>
  </si>
  <si>
    <t>Avigyan</t>
  </si>
  <si>
    <t>Subir</t>
  </si>
  <si>
    <t>Rajan</t>
  </si>
  <si>
    <t>Manik</t>
  </si>
  <si>
    <t>Rathin</t>
  </si>
  <si>
    <t>Saibal</t>
  </si>
  <si>
    <t>Manisha</t>
  </si>
  <si>
    <t>Bijit</t>
  </si>
  <si>
    <t>Sayak</t>
  </si>
  <si>
    <t>Bdhruba</t>
  </si>
  <si>
    <t>Ujjal</t>
  </si>
  <si>
    <t>Pujjal</t>
  </si>
  <si>
    <t>Pulka</t>
  </si>
  <si>
    <t>Santanu</t>
  </si>
  <si>
    <t>Sanjoy</t>
  </si>
  <si>
    <t>Nabin</t>
  </si>
  <si>
    <t>Tirtha</t>
  </si>
  <si>
    <t>Item</t>
  </si>
  <si>
    <t>Quantity</t>
  </si>
  <si>
    <t>Apple</t>
  </si>
  <si>
    <t>Orange</t>
  </si>
  <si>
    <t>Banana</t>
  </si>
  <si>
    <t>Mango</t>
  </si>
  <si>
    <t>Pineapple</t>
  </si>
  <si>
    <t>Grapes</t>
  </si>
  <si>
    <t>Guava</t>
  </si>
  <si>
    <t>Cherry</t>
  </si>
  <si>
    <t>Peach</t>
  </si>
  <si>
    <t>Plum</t>
  </si>
  <si>
    <t>Lemon</t>
  </si>
  <si>
    <t>Lime</t>
  </si>
  <si>
    <t>Grapefruit</t>
  </si>
  <si>
    <t>Papaya</t>
  </si>
  <si>
    <t>Stock Status</t>
  </si>
  <si>
    <t>Code</t>
  </si>
  <si>
    <t>Country</t>
  </si>
  <si>
    <t>Product</t>
  </si>
  <si>
    <t>Gross Sale</t>
  </si>
  <si>
    <t>Germany</t>
  </si>
  <si>
    <t>France</t>
  </si>
  <si>
    <t>India</t>
  </si>
  <si>
    <t>Carretera</t>
  </si>
  <si>
    <t>Montana</t>
  </si>
  <si>
    <t>Canada</t>
  </si>
  <si>
    <t>Vlookup + Match functtion</t>
  </si>
  <si>
    <t>Last Press Ctrl+ Enter After Completing Formula</t>
  </si>
  <si>
    <t>ID</t>
  </si>
  <si>
    <t>Name</t>
  </si>
  <si>
    <t>DEPARTMENT</t>
  </si>
  <si>
    <t>Manoj</t>
  </si>
  <si>
    <t>Kumar</t>
  </si>
  <si>
    <t>Harsh</t>
  </si>
  <si>
    <t>Krishna</t>
  </si>
  <si>
    <t>Paridhi</t>
  </si>
  <si>
    <t>Kavita</t>
  </si>
  <si>
    <t>HT</t>
  </si>
  <si>
    <t>HR</t>
  </si>
  <si>
    <t>MARKET</t>
  </si>
  <si>
    <t>PROD</t>
  </si>
  <si>
    <t>DEV</t>
  </si>
  <si>
    <t>RND</t>
  </si>
  <si>
    <t>Salary</t>
  </si>
  <si>
    <t>Over Time</t>
  </si>
  <si>
    <t>Incentives</t>
  </si>
  <si>
    <t>Total Pay</t>
  </si>
  <si>
    <t xml:space="preserve">Name </t>
  </si>
  <si>
    <t>Physics</t>
  </si>
  <si>
    <t>Chemistry</t>
  </si>
  <si>
    <t>Maths</t>
  </si>
  <si>
    <t>Vinod</t>
  </si>
  <si>
    <t>Sattu</t>
  </si>
  <si>
    <t>Mann</t>
  </si>
  <si>
    <t>Lekhi</t>
  </si>
  <si>
    <t>Ashish</t>
  </si>
  <si>
    <t>Anuj</t>
  </si>
  <si>
    <t>Ankhi</t>
  </si>
  <si>
    <t>Ajay</t>
  </si>
  <si>
    <t>State</t>
  </si>
  <si>
    <t>John</t>
  </si>
  <si>
    <t>Peter</t>
  </si>
  <si>
    <t>Michael</t>
  </si>
  <si>
    <t>Sarah</t>
  </si>
  <si>
    <t>Jessica</t>
  </si>
  <si>
    <t>Owen</t>
  </si>
  <si>
    <t>New York</t>
  </si>
  <si>
    <t>Illinois</t>
  </si>
  <si>
    <t>Texas</t>
  </si>
  <si>
    <t>Arizona</t>
  </si>
  <si>
    <t>Indiana</t>
  </si>
  <si>
    <t>Florida</t>
  </si>
  <si>
    <t>D.O.B</t>
  </si>
  <si>
    <t>ID'S</t>
  </si>
  <si>
    <t>WORKING LOCATION</t>
  </si>
  <si>
    <t>SALARY</t>
  </si>
  <si>
    <t>NAME</t>
  </si>
  <si>
    <t>Rajesh</t>
  </si>
  <si>
    <t>Prabhat</t>
  </si>
  <si>
    <t>Vinay</t>
  </si>
  <si>
    <t>Manish</t>
  </si>
  <si>
    <t>Deepak</t>
  </si>
  <si>
    <t>Sohil</t>
  </si>
  <si>
    <t>Aman</t>
  </si>
  <si>
    <t>Sonam</t>
  </si>
  <si>
    <t>Prashant</t>
  </si>
  <si>
    <t>Gautam</t>
  </si>
  <si>
    <t>11/30/1992</t>
  </si>
  <si>
    <t>1/25/1995</t>
  </si>
  <si>
    <t>7/17/1997</t>
  </si>
  <si>
    <t>9/16/1992</t>
  </si>
  <si>
    <t>3/21/2000</t>
  </si>
  <si>
    <t>E-6532</t>
  </si>
  <si>
    <t>E-4536</t>
  </si>
  <si>
    <t>E-9645</t>
  </si>
  <si>
    <t>E-2516</t>
  </si>
  <si>
    <t>E-9332</t>
  </si>
  <si>
    <t>E-7865</t>
  </si>
  <si>
    <t>E-3265</t>
  </si>
  <si>
    <t>E-1235</t>
  </si>
  <si>
    <t>E9830</t>
  </si>
  <si>
    <t>E-7598</t>
  </si>
  <si>
    <t>DELHI</t>
  </si>
  <si>
    <t>PUNE</t>
  </si>
  <si>
    <t>AJMER</t>
  </si>
  <si>
    <t>HIMACHAL</t>
  </si>
  <si>
    <t>BIHAR</t>
  </si>
  <si>
    <t>ASSAM</t>
  </si>
  <si>
    <t>MUMBAI</t>
  </si>
  <si>
    <t>GUJRAT</t>
  </si>
  <si>
    <t>NOIDA</t>
  </si>
  <si>
    <t>GOA</t>
  </si>
  <si>
    <t>KERELA</t>
  </si>
  <si>
    <t>VLOOKUP WITH CHOOSE FUNCTION</t>
  </si>
  <si>
    <t>Reverse Vlookup Use Through Choose Function</t>
  </si>
  <si>
    <t>Product ID</t>
  </si>
  <si>
    <t>Product 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</si>
  <si>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</si>
  <si>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</si>
  <si>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</si>
  <si>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</si>
  <si>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</si>
  <si>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</si>
  <si>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</si>
  <si>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</si>
  <si>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</si>
  <si>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</si>
  <si>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</si>
  <si>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</si>
  <si>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</si>
  <si>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</si>
  <si>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PEN</t>
  </si>
  <si>
    <t>PENCIL</t>
  </si>
  <si>
    <t>NOTEBOOK</t>
  </si>
  <si>
    <t>ERASER</t>
  </si>
  <si>
    <t>SHOPNER</t>
  </si>
  <si>
    <t>BOOK</t>
  </si>
  <si>
    <t>STATIONARY</t>
  </si>
  <si>
    <t>CLASS NOTE</t>
  </si>
  <si>
    <t>Ram</t>
  </si>
  <si>
    <t>Karan</t>
  </si>
  <si>
    <t>P015</t>
  </si>
  <si>
    <t>P016</t>
  </si>
  <si>
    <t>WHITE PEN</t>
  </si>
  <si>
    <t>BLACK CAMPASS</t>
  </si>
  <si>
    <t>POUCH</t>
  </si>
  <si>
    <t>SCALE</t>
  </si>
  <si>
    <t>DUSTER</t>
  </si>
  <si>
    <t>SKECTH PEN</t>
  </si>
  <si>
    <t>WHITE POUCH</t>
  </si>
  <si>
    <t>BOARD</t>
  </si>
  <si>
    <t>EMP ID</t>
  </si>
  <si>
    <t>Department</t>
  </si>
  <si>
    <t>Alice</t>
  </si>
  <si>
    <t>Bob</t>
  </si>
  <si>
    <t>Charlie</t>
  </si>
  <si>
    <t>David</t>
  </si>
  <si>
    <t>Eva</t>
  </si>
  <si>
    <t>Marketing</t>
  </si>
  <si>
    <t>IT</t>
  </si>
  <si>
    <t>Sales</t>
  </si>
  <si>
    <t>Finance</t>
  </si>
  <si>
    <t>Accounting</t>
  </si>
  <si>
    <t>Roe</t>
  </si>
  <si>
    <t>Jack</t>
  </si>
  <si>
    <t>BA</t>
  </si>
  <si>
    <t>You're asking about using VLOOKUP within an INDEX function, which can happen in a few specific cases where you want VLOOKUP to return a dynamic row number or column number, which you can then plug into the INDEX function.</t>
  </si>
  <si>
    <t>Let me show you how VLOOKUP inside INDEX can work in real Excel formulas with example data.</t>
  </si>
  <si>
    <t>---</t>
  </si>
  <si>
    <t>🔹 Example: INDEX with VLOOKUP</t>
  </si>
  <si>
    <t>📌 Goal: Use VLOOKUP to find a column number, then use INDEX to return the value</t>
  </si>
  <si>
    <t>Suppose we want to get the Department of Employee ID = 103, but you want to get the column number dynamically with VLOOKUP.</t>
  </si>
  <si>
    <t>🔸 Step-by-step Formula</t>
  </si>
  <si>
    <t>🔍 Explanation:</t>
  </si>
  <si>
    <t>MATCH(103, A2:A6, 0) — Finds the row number of Employee ID 103 (returns 3)</t>
  </si>
  <si>
    <t>VLOOKUP("Dept", {"Name",2;"Dept",3;"Salary",4}, 2, FALSE) — Finds the column number for "Dept" (returns 3)</t>
  </si>
  <si>
    <t>INDEX(A2:D6, 3, 3) — Returns value at row 3, column 3 → "IT"</t>
  </si>
  <si>
    <t>📌 Final Output: "IT"</t>
  </si>
  <si>
    <t>This approach is helpful if:</t>
  </si>
  <si>
    <t>You want to dynamically choose the column to fetch using labels like "Salary" or "Dept"</t>
  </si>
  <si>
    <t>You are creating a dashboard where the user selects a label, and you look up data based on it</t>
  </si>
  <si>
    <t>Satureday</t>
  </si>
  <si>
    <t>Friday</t>
  </si>
  <si>
    <t>Thursday</t>
  </si>
  <si>
    <t>Wednesday</t>
  </si>
  <si>
    <t>Tuesday</t>
  </si>
  <si>
    <t>Monday</t>
  </si>
  <si>
    <t>Sunday</t>
  </si>
  <si>
    <t>Week Day</t>
  </si>
  <si>
    <t>Week No.</t>
  </si>
  <si>
    <t>Check Tables Name First</t>
  </si>
  <si>
    <t>AP011</t>
  </si>
  <si>
    <t>Amount</t>
  </si>
  <si>
    <t>Qty Sold</t>
  </si>
  <si>
    <t>Price</t>
  </si>
  <si>
    <t>Product_ID</t>
  </si>
  <si>
    <t>Select Sheet Name To Search in :</t>
  </si>
  <si>
    <t>HyperX Solocast Mic</t>
  </si>
  <si>
    <t>AP013</t>
  </si>
  <si>
    <t>Laptop i7 Ryz 5</t>
  </si>
  <si>
    <t>AP012</t>
  </si>
  <si>
    <t>Mobile Adapter</t>
  </si>
  <si>
    <t>Wireless Keyboard</t>
  </si>
  <si>
    <t>AP010</t>
  </si>
  <si>
    <t>Keyboard</t>
  </si>
  <si>
    <t>AP009</t>
  </si>
  <si>
    <t>Alexa 2.0</t>
  </si>
  <si>
    <t>AP008</t>
  </si>
  <si>
    <t>Cabinet</t>
  </si>
  <si>
    <t>AP007</t>
  </si>
  <si>
    <t>Monitor 15 inch HP</t>
  </si>
  <si>
    <t>AP006</t>
  </si>
  <si>
    <t>Wireless Mouse</t>
  </si>
  <si>
    <t>AP005</t>
  </si>
  <si>
    <t>Mobile Stand</t>
  </si>
  <si>
    <t>AP004</t>
  </si>
  <si>
    <t>Condenser Mic</t>
  </si>
  <si>
    <t>AP003</t>
  </si>
  <si>
    <t>Mic m1</t>
  </si>
  <si>
    <t>AP002</t>
  </si>
  <si>
    <t>Mouse</t>
  </si>
  <si>
    <t>AP001</t>
  </si>
  <si>
    <t>Ctrl + C &amp;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</si>
</sst>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5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5" fillId="2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0" fillId="8" borderId="1" xfId="0" applyFill="1" applyBorder="1"/>
    <xf numFmtId="14" fontId="0" fillId="0" borderId="1" xfId="0" applyNumberFormat="1" applyBorder="1" applyAlignment="1">
      <alignment horizontal="center"/>
    </xf>
    <xf numFmtId="0" fontId="0" fillId="13" borderId="1" xfId="0" applyFill="1" applyBorder="1"/>
    <xf numFmtId="0" fontId="0" fillId="13" borderId="0" xfId="0" applyFill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9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0" fillId="0" borderId="0" xfId="1"/>
    <xf numFmtId="0" fontId="10" fillId="0" borderId="1" xfId="1" applyBorder="1"/>
    <xf numFmtId="0" fontId="10" fillId="9" borderId="1" xfId="1" applyFill="1" applyBorder="1"/>
    <xf numFmtId="0" fontId="10" fillId="0" borderId="1" xfId="1" applyBorder="1" applyAlignment="1">
      <alignment horizontal="left" indent="2"/>
    </xf>
    <xf numFmtId="0" fontId="10" fillId="14" borderId="1" xfId="1" applyFill="1" applyBorder="1"/>
    <xf numFmtId="0" fontId="9" fillId="9" borderId="1" xfId="1" applyFont="1" applyFill="1" applyBorder="1" applyAlignment="1">
      <alignment horizontal="left" indent="1"/>
    </xf>
    <xf numFmtId="0" fontId="9" fillId="9" borderId="1" xfId="1" applyFont="1" applyFill="1" applyBorder="1" applyAlignment="1">
      <alignment horizontal="left" indent="2"/>
    </xf>
    <xf numFmtId="0" fontId="9" fillId="9" borderId="1" xfId="1" applyFont="1" applyFill="1" applyBorder="1"/>
    <xf numFmtId="0" fontId="9" fillId="15" borderId="0" xfId="1" applyFont="1" applyFill="1"/>
    <xf numFmtId="0" fontId="10" fillId="0" borderId="3" xfId="1" applyBorder="1"/>
    <xf numFmtId="0" fontId="10" fillId="0" borderId="4" xfId="1" applyBorder="1"/>
    <xf numFmtId="0" fontId="10" fillId="0" borderId="5" xfId="1" applyBorder="1"/>
    <xf numFmtId="0" fontId="10" fillId="0" borderId="6" xfId="1" applyBorder="1"/>
    <xf numFmtId="0" fontId="10" fillId="0" borderId="7" xfId="1" applyBorder="1"/>
    <xf numFmtId="0" fontId="10" fillId="0" borderId="8" xfId="1" applyBorder="1"/>
    <xf numFmtId="0" fontId="9" fillId="9" borderId="9" xfId="1" applyFont="1" applyFill="1" applyBorder="1"/>
    <xf numFmtId="0" fontId="9" fillId="9" borderId="10" xfId="1" applyFont="1" applyFill="1" applyBorder="1"/>
    <xf numFmtId="0" fontId="9" fillId="9" borderId="11" xfId="1" applyFont="1" applyFill="1" applyBorder="1"/>
  </cellXfs>
  <cellStyles count="2">
    <cellStyle name="Normal" xfId="0" builtinId="0"/>
    <cellStyle name="Normal 2" xfId="1" xr:uid="{07D9F7BD-24E3-45A7-BBF1-1439D11ED75A}"/>
  </cellStyles>
  <dxfs count="6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76757-55F9-4847-8A6C-DAD7127E9294}" name="Tablejan" displayName="Tablejan" ref="B2:F15" totalsRowShown="0" headerRowDxfId="62" headerRowBorderDxfId="60" tableBorderDxfId="61" totalsRowBorderDxfId="59">
  <tableColumns count="5">
    <tableColumn id="1" xr3:uid="{E37A7ABB-E218-4262-B551-E79ED105F054}" name="Product_ID" dataDxfId="58"/>
    <tableColumn id="2" xr3:uid="{38D4EE6C-8A4B-4A94-8CE2-DC4DBDFF7256}" name="Product Name" dataDxfId="57"/>
    <tableColumn id="3" xr3:uid="{F6C17946-E0C7-4635-92BA-15C9B69DFE22}" name="Price" dataDxfId="56"/>
    <tableColumn id="4" xr3:uid="{0163442E-7112-4A16-96B3-39E14A2AC3EE}" name="Qty Sold" dataDxfId="55"/>
    <tableColumn id="5" xr3:uid="{F56AD77D-FDF9-409C-8D2E-7E53AEC6C60A}" name="Amount" dataDxfId="54">
      <calculatedColumnFormula>D3*E3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E6202-3990-43AB-858A-89C7D2A2F458}" name="Tablefeb" displayName="Tablefeb" ref="B2:F15" totalsRowShown="0" headerRowDxfId="53" headerRowBorderDxfId="51" tableBorderDxfId="52" totalsRowBorderDxfId="50">
  <tableColumns count="5">
    <tableColumn id="1" xr3:uid="{A323E527-4C7D-41D0-98EE-4BA2A366FD8B}" name="Product_ID" dataDxfId="49"/>
    <tableColumn id="2" xr3:uid="{3BE4E90A-FE7A-4900-956F-F732CFE755B5}" name="Product Name" dataDxfId="48"/>
    <tableColumn id="3" xr3:uid="{4DE5AF3A-0424-4C1D-932A-26B8389A8D28}" name="Price" dataDxfId="47"/>
    <tableColumn id="4" xr3:uid="{E4D818FA-B199-4126-AC33-27F465BAB779}" name="Qty Sold" dataDxfId="46"/>
    <tableColumn id="5" xr3:uid="{099F9911-5803-46E4-8DE8-28D717C41A30}" name="Amount" dataDxfId="45">
      <calculatedColumnFormula>D3*E3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21A5D8-93D7-483D-A229-F2FC49F2BD2E}" name="Tablemar" displayName="Tablemar" ref="B2:F15" totalsRowShown="0" headerRowDxfId="44" headerRowBorderDxfId="42" tableBorderDxfId="43" totalsRowBorderDxfId="41">
  <tableColumns count="5">
    <tableColumn id="1" xr3:uid="{5B24E197-92C3-469D-ADC6-3FECD80F5B23}" name="Product_ID" dataDxfId="40"/>
    <tableColumn id="2" xr3:uid="{55A32C30-5936-4D65-AB75-049BD38F2B0D}" name="Product Name" dataDxfId="39"/>
    <tableColumn id="3" xr3:uid="{FD1E602A-BE72-4103-A94E-C14A880DAA7B}" name="Price" dataDxfId="38"/>
    <tableColumn id="4" xr3:uid="{A41C9A8D-A9A6-474A-A587-091DBA0AFE41}" name="Qty Sold" dataDxfId="37"/>
    <tableColumn id="5" xr3:uid="{91550666-43C9-46E3-AEC1-F5CF1CEF5158}" name="Amount" dataDxfId="36">
      <calculatedColumnFormula>D3*E3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3F67C1-287A-419D-A1D6-7C0A3F66F153}" name="Tableapr" displayName="Tableapr" ref="B2:F15" totalsRowShown="0" headerRowDxfId="35" headerRowBorderDxfId="33" tableBorderDxfId="34" totalsRowBorderDxfId="32">
  <tableColumns count="5">
    <tableColumn id="1" xr3:uid="{9058F121-1D15-431D-9C6A-BF16AD916571}" name="Product_ID" dataDxfId="31"/>
    <tableColumn id="2" xr3:uid="{C305ED40-1585-4E77-A8C9-E4445B2A6331}" name="Product Name" dataDxfId="30"/>
    <tableColumn id="3" xr3:uid="{CBBC64A4-A352-411C-ABAC-164196EB02A2}" name="Price" dataDxfId="29"/>
    <tableColumn id="4" xr3:uid="{E057711A-E67A-402C-AF6B-40873D5A49CC}" name="Qty Sold" dataDxfId="28"/>
    <tableColumn id="5" xr3:uid="{F1AAE078-2B6C-4EE4-8B62-C0D0A1857139}" name="Amount" dataDxfId="27">
      <calculatedColumnFormula>D3*E3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4C0CBD-1A69-49A1-949C-122F4F881A73}" name="TableMay" displayName="TableMay" ref="B2:F15" totalsRowShown="0" headerRowDxfId="26" headerRowBorderDxfId="24" tableBorderDxfId="25" totalsRowBorderDxfId="23">
  <tableColumns count="5">
    <tableColumn id="1" xr3:uid="{39645CAC-F132-4304-8769-A2C07F1BE5BE}" name="Product_ID" dataDxfId="22"/>
    <tableColumn id="2" xr3:uid="{95A193D1-5CF3-4179-B5C7-90C4E42ED3F6}" name="Product Name" dataDxfId="21"/>
    <tableColumn id="3" xr3:uid="{FF84ABBD-456D-4D8D-866F-A1CAB06FED82}" name="Price" dataDxfId="20"/>
    <tableColumn id="4" xr3:uid="{76A43825-A03E-4311-B68C-6FEED7FABD9E}" name="Qty Sold" dataDxfId="19"/>
    <tableColumn id="5" xr3:uid="{72E7C20A-D721-4D7D-805B-0EC86D6E3682}" name="Amount" dataDxfId="18">
      <calculatedColumnFormula>D3*E3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D49A6C-02F9-4134-AAE0-EAA4EA097F86}" name="Tablejun" displayName="Tablejun" ref="B2:F15" totalsRowShown="0" headerRowDxfId="17" headerRowBorderDxfId="15" tableBorderDxfId="16" totalsRowBorderDxfId="14">
  <tableColumns count="5">
    <tableColumn id="1" xr3:uid="{D533E737-E897-44EC-BEED-45A731F6F909}" name="Product_ID" dataDxfId="13"/>
    <tableColumn id="2" xr3:uid="{843A6B25-87B5-40C8-8CBB-4A6045304421}" name="Product Name" dataDxfId="12"/>
    <tableColumn id="3" xr3:uid="{81FA94F0-3004-4372-B493-39115BD9A3E7}" name="Price" dataDxfId="11"/>
    <tableColumn id="4" xr3:uid="{91C4352F-DCFE-4887-A1F5-18AB85743159}" name="Qty Sold" dataDxfId="10"/>
    <tableColumn id="5" xr3:uid="{5F9080C4-2929-4D3E-99CF-5FF36C7D0E9B}" name="Amount" dataDxfId="9">
      <calculatedColumnFormula>D3*E3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645604-70F3-4DE6-9C0A-33779A89E971}" name="Tablejun10" displayName="Tablejun10" ref="B2:F15" totalsRowShown="0" headerRowDxfId="8" headerRowBorderDxfId="6" tableBorderDxfId="7" totalsRowBorderDxfId="5">
  <tableColumns count="5">
    <tableColumn id="1" xr3:uid="{030FB537-ECF1-4898-87F3-A3312FB34E76}" name="Product_ID" dataDxfId="4"/>
    <tableColumn id="2" xr3:uid="{582FB55D-F146-4ACF-85C8-FFAA709DD9AE}" name="Product Name" dataDxfId="3"/>
    <tableColumn id="3" xr3:uid="{B80E3DCA-3BEA-45E3-A849-19D6DA9D9FC4}" name="Price" dataDxfId="2"/>
    <tableColumn id="4" xr3:uid="{076615E8-6114-4AF0-A7F2-49BDDE659D4B}" name="Qty Sold" dataDxfId="1"/>
    <tableColumn id="5" xr3:uid="{8EBEBE36-2244-41F0-89CE-B4AA8AD02AE9}" name="Amount" dataDxfId="0">
      <calculatedColumnFormula>D3*E3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59E6-B747-480A-83DA-39C2FDCA879A}">
  <dimension ref="A2:K46"/>
  <sheetViews>
    <sheetView topLeftCell="A25" workbookViewId="0">
      <selection activeCell="G40" sqref="G40"/>
    </sheetView>
  </sheetViews>
  <sheetFormatPr defaultRowHeight="14.4" x14ac:dyDescent="0.3"/>
  <cols>
    <col min="2" max="2" width="16.33203125" customWidth="1"/>
    <col min="3" max="3" width="16.6640625" customWidth="1"/>
    <col min="4" max="4" width="11.109375" customWidth="1"/>
    <col min="10" max="10" width="12.77734375" customWidth="1"/>
    <col min="11" max="11" width="12.6640625" customWidth="1"/>
  </cols>
  <sheetData>
    <row r="2" spans="10:11" x14ac:dyDescent="0.3">
      <c r="J2" s="3" t="s">
        <v>0</v>
      </c>
      <c r="K2" s="3" t="s">
        <v>1</v>
      </c>
    </row>
    <row r="3" spans="10:11" x14ac:dyDescent="0.3">
      <c r="J3" s="1" t="s">
        <v>2</v>
      </c>
      <c r="K3" s="1">
        <f>VLOOKUP(VLOOKUP(J3,J7:K10,2,0),J14:K19,2,0)</f>
        <v>20000</v>
      </c>
    </row>
    <row r="6" spans="10:11" x14ac:dyDescent="0.3">
      <c r="J6" s="22" t="s">
        <v>3</v>
      </c>
      <c r="K6" s="22"/>
    </row>
    <row r="7" spans="10:11" x14ac:dyDescent="0.3">
      <c r="J7" s="1" t="s">
        <v>0</v>
      </c>
      <c r="K7" s="1" t="s">
        <v>4</v>
      </c>
    </row>
    <row r="8" spans="10:11" x14ac:dyDescent="0.3">
      <c r="J8" s="2" t="s">
        <v>2</v>
      </c>
      <c r="K8" s="2" t="s">
        <v>7</v>
      </c>
    </row>
    <row r="9" spans="10:11" x14ac:dyDescent="0.3">
      <c r="J9" s="2" t="s">
        <v>5</v>
      </c>
      <c r="K9" s="2" t="s">
        <v>8</v>
      </c>
    </row>
    <row r="10" spans="10:11" x14ac:dyDescent="0.3">
      <c r="J10" s="2" t="s">
        <v>6</v>
      </c>
      <c r="K10" s="2" t="s">
        <v>9</v>
      </c>
    </row>
    <row r="13" spans="10:11" x14ac:dyDescent="0.3">
      <c r="J13" s="23" t="s">
        <v>10</v>
      </c>
      <c r="K13" s="23"/>
    </row>
    <row r="14" spans="10:11" x14ac:dyDescent="0.3">
      <c r="J14" s="1" t="s">
        <v>4</v>
      </c>
      <c r="K14" s="1" t="s">
        <v>1</v>
      </c>
    </row>
    <row r="15" spans="10:11" x14ac:dyDescent="0.3">
      <c r="J15" s="2" t="s">
        <v>9</v>
      </c>
      <c r="K15" s="2">
        <v>45000</v>
      </c>
    </row>
    <row r="16" spans="10:11" x14ac:dyDescent="0.3">
      <c r="J16" s="2" t="s">
        <v>11</v>
      </c>
      <c r="K16" s="2">
        <v>25000</v>
      </c>
    </row>
    <row r="17" spans="1:11" x14ac:dyDescent="0.3">
      <c r="J17" s="2" t="s">
        <v>8</v>
      </c>
      <c r="K17" s="2">
        <v>35000</v>
      </c>
    </row>
    <row r="18" spans="1:11" x14ac:dyDescent="0.3">
      <c r="J18" s="2" t="s">
        <v>7</v>
      </c>
      <c r="K18" s="2">
        <v>20000</v>
      </c>
    </row>
    <row r="19" spans="1:11" x14ac:dyDescent="0.3">
      <c r="J19" s="2" t="s">
        <v>12</v>
      </c>
      <c r="K19" s="2">
        <v>12000</v>
      </c>
    </row>
    <row r="22" spans="1:11" x14ac:dyDescent="0.3">
      <c r="J22" t="s">
        <v>13</v>
      </c>
    </row>
    <row r="26" spans="1:11" x14ac:dyDescent="0.3">
      <c r="A26" s="10" t="s">
        <v>65</v>
      </c>
      <c r="B26" s="10" t="s">
        <v>66</v>
      </c>
      <c r="C26" s="10" t="s">
        <v>67</v>
      </c>
    </row>
    <row r="27" spans="1:11" x14ac:dyDescent="0.3">
      <c r="A27" s="8">
        <v>1001</v>
      </c>
      <c r="B27" s="8" t="s">
        <v>68</v>
      </c>
      <c r="C27" s="8" t="s">
        <v>74</v>
      </c>
    </row>
    <row r="28" spans="1:11" x14ac:dyDescent="0.3">
      <c r="A28" s="8">
        <v>1002</v>
      </c>
      <c r="B28" s="8" t="s">
        <v>69</v>
      </c>
      <c r="C28" s="8" t="s">
        <v>75</v>
      </c>
    </row>
    <row r="29" spans="1:11" x14ac:dyDescent="0.3">
      <c r="A29" s="8">
        <v>1003</v>
      </c>
      <c r="B29" s="8" t="s">
        <v>70</v>
      </c>
      <c r="C29" s="8" t="s">
        <v>76</v>
      </c>
    </row>
    <row r="30" spans="1:11" x14ac:dyDescent="0.3">
      <c r="A30" s="8">
        <v>1004</v>
      </c>
      <c r="B30" s="8" t="s">
        <v>71</v>
      </c>
      <c r="C30" s="8" t="s">
        <v>77</v>
      </c>
    </row>
    <row r="31" spans="1:11" x14ac:dyDescent="0.3">
      <c r="A31" s="8">
        <v>1005</v>
      </c>
      <c r="B31" s="8" t="s">
        <v>72</v>
      </c>
      <c r="C31" s="8" t="s">
        <v>78</v>
      </c>
    </row>
    <row r="32" spans="1:11" x14ac:dyDescent="0.3">
      <c r="A32" s="8">
        <v>1006</v>
      </c>
      <c r="B32" s="8" t="s">
        <v>73</v>
      </c>
      <c r="C32" s="8" t="s">
        <v>79</v>
      </c>
    </row>
    <row r="36" spans="1:5" x14ac:dyDescent="0.3">
      <c r="A36" s="11" t="s">
        <v>66</v>
      </c>
      <c r="B36" s="11" t="s">
        <v>80</v>
      </c>
      <c r="C36" s="11" t="s">
        <v>81</v>
      </c>
      <c r="D36" s="11" t="s">
        <v>82</v>
      </c>
      <c r="E36" s="11" t="s">
        <v>83</v>
      </c>
    </row>
    <row r="37" spans="1:5" x14ac:dyDescent="0.3">
      <c r="A37" s="8" t="s">
        <v>68</v>
      </c>
      <c r="B37" s="8">
        <v>13268</v>
      </c>
      <c r="C37" s="8">
        <v>1065</v>
      </c>
      <c r="D37" s="8">
        <v>124</v>
      </c>
      <c r="E37" s="8">
        <v>14457</v>
      </c>
    </row>
    <row r="38" spans="1:5" x14ac:dyDescent="0.3">
      <c r="A38" s="8" t="s">
        <v>69</v>
      </c>
      <c r="B38" s="8">
        <v>11490</v>
      </c>
      <c r="C38" s="8">
        <v>1184</v>
      </c>
      <c r="D38" s="8">
        <v>404</v>
      </c>
      <c r="E38" s="8">
        <v>13078</v>
      </c>
    </row>
    <row r="39" spans="1:5" x14ac:dyDescent="0.3">
      <c r="A39" s="8" t="s">
        <v>70</v>
      </c>
      <c r="B39" s="8">
        <v>14420</v>
      </c>
      <c r="C39" s="8">
        <v>796</v>
      </c>
      <c r="D39" s="8">
        <v>314</v>
      </c>
      <c r="E39" s="8">
        <v>15530</v>
      </c>
    </row>
    <row r="40" spans="1:5" x14ac:dyDescent="0.3">
      <c r="A40" s="8" t="s">
        <v>71</v>
      </c>
      <c r="B40" s="8">
        <v>14400</v>
      </c>
      <c r="C40" s="8">
        <v>1141</v>
      </c>
      <c r="D40" s="8">
        <v>244</v>
      </c>
      <c r="E40" s="8">
        <v>15785</v>
      </c>
    </row>
    <row r="41" spans="1:5" x14ac:dyDescent="0.3">
      <c r="A41" s="8" t="s">
        <v>72</v>
      </c>
      <c r="B41" s="8">
        <v>10840</v>
      </c>
      <c r="C41" s="8">
        <v>1189</v>
      </c>
      <c r="D41" s="8">
        <v>312</v>
      </c>
      <c r="E41" s="8">
        <v>12341</v>
      </c>
    </row>
    <row r="42" spans="1:5" x14ac:dyDescent="0.3">
      <c r="A42" s="8" t="s">
        <v>73</v>
      </c>
      <c r="B42" s="8">
        <v>11281</v>
      </c>
      <c r="C42" s="8">
        <v>515</v>
      </c>
      <c r="D42" s="8">
        <v>515</v>
      </c>
      <c r="E42" s="8">
        <v>11973</v>
      </c>
    </row>
    <row r="45" spans="1:5" x14ac:dyDescent="0.3">
      <c r="A45" s="10" t="s">
        <v>65</v>
      </c>
      <c r="B45" s="11" t="s">
        <v>83</v>
      </c>
    </row>
    <row r="46" spans="1:5" x14ac:dyDescent="0.3">
      <c r="A46">
        <v>1001</v>
      </c>
      <c r="B46" s="12">
        <f>VLOOKUP(VLOOKUP(A46,A26:C32,2,0),A36:E42,5,0)</f>
        <v>14457</v>
      </c>
    </row>
  </sheetData>
  <mergeCells count="2">
    <mergeCell ref="J6:K6"/>
    <mergeCell ref="J13:K13"/>
  </mergeCells>
  <dataValidations count="1">
    <dataValidation type="list" allowBlank="1" showInputMessage="1" showErrorMessage="1" sqref="A46" xr:uid="{5E766CF7-04A1-48F8-B0F2-0A561BD0FB6B}">
      <formula1>$A$27:$A$32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165-2C7F-48C7-AC98-F1A054A04D2B}">
  <dimension ref="A1:R22"/>
  <sheetViews>
    <sheetView workbookViewId="0">
      <selection activeCell="P18" sqref="P18"/>
    </sheetView>
  </sheetViews>
  <sheetFormatPr defaultRowHeight="14.4" x14ac:dyDescent="0.3"/>
  <sheetData>
    <row r="1" spans="1:18" ht="23.4" x14ac:dyDescent="0.45">
      <c r="A1" s="24" t="s">
        <v>14</v>
      </c>
      <c r="B1" s="25"/>
      <c r="C1" s="25"/>
      <c r="D1" s="25"/>
      <c r="E1" s="25"/>
      <c r="F1" s="25"/>
      <c r="G1" s="25"/>
      <c r="H1" s="25"/>
    </row>
    <row r="2" spans="1:18" x14ac:dyDescent="0.3">
      <c r="C2" s="5" t="s">
        <v>15</v>
      </c>
      <c r="D2" s="5" t="s">
        <v>16</v>
      </c>
      <c r="E2" s="5" t="s">
        <v>17</v>
      </c>
      <c r="F2" s="5" t="s">
        <v>18</v>
      </c>
    </row>
    <row r="3" spans="1:18" x14ac:dyDescent="0.3">
      <c r="C3" s="2" t="s">
        <v>19</v>
      </c>
      <c r="D3" s="2" cm="1">
        <f t="array" ref="D3:F3">VLOOKUP(C3,C5:F22,{2,3,4},0)</f>
        <v>5656</v>
      </c>
      <c r="E3" s="2">
        <v>25359</v>
      </c>
      <c r="F3" s="2">
        <v>612</v>
      </c>
    </row>
    <row r="4" spans="1:18" x14ac:dyDescent="0.3">
      <c r="O4" s="5" t="s">
        <v>15</v>
      </c>
      <c r="P4" s="5" t="s">
        <v>16</v>
      </c>
      <c r="Q4" s="5" t="s">
        <v>17</v>
      </c>
      <c r="R4" s="5" t="s">
        <v>18</v>
      </c>
    </row>
    <row r="5" spans="1:18" x14ac:dyDescent="0.3">
      <c r="C5" s="4" t="s">
        <v>15</v>
      </c>
      <c r="D5" s="4" t="s">
        <v>16</v>
      </c>
      <c r="E5" s="4" t="s">
        <v>17</v>
      </c>
      <c r="F5" s="4" t="s">
        <v>18</v>
      </c>
      <c r="I5" s="4" t="s">
        <v>84</v>
      </c>
      <c r="J5" s="4" t="s">
        <v>85</v>
      </c>
      <c r="K5" s="4" t="s">
        <v>86</v>
      </c>
      <c r="L5" s="4" t="s">
        <v>87</v>
      </c>
      <c r="O5" t="str" cm="1">
        <f t="array" ref="O5:R5">VLOOKUP(C9,$C$6:$F$22,{1,2,3,4},0)</f>
        <v>Rathin</v>
      </c>
      <c r="P5">
        <v>21712</v>
      </c>
      <c r="Q5">
        <v>22413</v>
      </c>
      <c r="R5">
        <v>1355</v>
      </c>
    </row>
    <row r="6" spans="1:18" x14ac:dyDescent="0.3">
      <c r="C6" s="2" t="s">
        <v>20</v>
      </c>
      <c r="D6" s="2">
        <v>17538</v>
      </c>
      <c r="E6" s="2">
        <v>18899</v>
      </c>
      <c r="F6" s="2">
        <v>187326</v>
      </c>
      <c r="I6" s="2"/>
      <c r="J6" s="2"/>
      <c r="K6" s="2"/>
      <c r="L6" s="2"/>
      <c r="O6" t="str" cm="1">
        <f t="array" ref="O6:R6">VLOOKUP(C10,$C$6:$F$22,{1,2,3,4},0)</f>
        <v>Saibal</v>
      </c>
      <c r="P6">
        <v>24471</v>
      </c>
      <c r="Q6">
        <v>22159</v>
      </c>
      <c r="R6">
        <v>23688</v>
      </c>
    </row>
    <row r="7" spans="1:18" x14ac:dyDescent="0.3">
      <c r="C7" s="2" t="s">
        <v>21</v>
      </c>
      <c r="D7" s="2">
        <v>3052</v>
      </c>
      <c r="E7" s="2">
        <v>1089</v>
      </c>
      <c r="F7" s="2">
        <v>12822</v>
      </c>
      <c r="O7" t="str" cm="1">
        <f t="array" ref="O7:R7">VLOOKUP(C11,$C$6:$F$22,{1,2,3,4},0)</f>
        <v>Avigyan</v>
      </c>
      <c r="P7">
        <v>5656</v>
      </c>
      <c r="Q7">
        <v>25359</v>
      </c>
      <c r="R7">
        <v>612</v>
      </c>
    </row>
    <row r="8" spans="1:18" x14ac:dyDescent="0.3">
      <c r="C8" s="2" t="s">
        <v>22</v>
      </c>
      <c r="D8" s="2">
        <v>24167</v>
      </c>
      <c r="E8" s="2">
        <v>7646</v>
      </c>
      <c r="F8" s="2">
        <v>10002</v>
      </c>
      <c r="I8" s="13" t="s">
        <v>66</v>
      </c>
      <c r="J8" s="13" t="s">
        <v>85</v>
      </c>
      <c r="K8" s="13" t="s">
        <v>86</v>
      </c>
      <c r="L8" s="13" t="s">
        <v>87</v>
      </c>
      <c r="O8" t="str" cm="1">
        <f t="array" ref="O8:R8">VLOOKUP(C12,$C$6:$F$22,{1,2,3,4},0)</f>
        <v>Manisha</v>
      </c>
      <c r="P8">
        <v>12539</v>
      </c>
      <c r="Q8">
        <v>17087</v>
      </c>
      <c r="R8">
        <v>9475</v>
      </c>
    </row>
    <row r="9" spans="1:18" x14ac:dyDescent="0.3">
      <c r="C9" s="2" t="s">
        <v>23</v>
      </c>
      <c r="D9" s="2">
        <v>21712</v>
      </c>
      <c r="E9" s="2">
        <v>22413</v>
      </c>
      <c r="F9" s="2">
        <v>1355</v>
      </c>
      <c r="I9" s="8" t="s">
        <v>88</v>
      </c>
      <c r="J9" s="2">
        <v>51</v>
      </c>
      <c r="K9" s="2"/>
      <c r="L9" s="2"/>
      <c r="O9" t="str" cm="1">
        <f t="array" ref="O9:R9">VLOOKUP(C13,$C$6:$F$22,{1,2,3,4},0)</f>
        <v>Bijit</v>
      </c>
      <c r="P9">
        <v>1883</v>
      </c>
      <c r="Q9">
        <v>3612</v>
      </c>
      <c r="R9">
        <v>7089</v>
      </c>
    </row>
    <row r="10" spans="1:18" x14ac:dyDescent="0.3">
      <c r="C10" s="2" t="s">
        <v>24</v>
      </c>
      <c r="D10" s="2">
        <v>24471</v>
      </c>
      <c r="E10" s="2">
        <v>22159</v>
      </c>
      <c r="F10" s="2">
        <v>23688</v>
      </c>
      <c r="I10" s="8" t="s">
        <v>89</v>
      </c>
      <c r="J10" s="2">
        <v>88</v>
      </c>
      <c r="K10" s="2"/>
      <c r="L10" s="2"/>
      <c r="O10" t="str" cm="1">
        <f t="array" ref="O10:R10">VLOOKUP(C14,$C$6:$F$22,{1,2,3,4},0)</f>
        <v>Sayak</v>
      </c>
      <c r="P10">
        <v>2862</v>
      </c>
      <c r="Q10">
        <v>92231</v>
      </c>
      <c r="R10">
        <v>8441</v>
      </c>
    </row>
    <row r="11" spans="1:18" x14ac:dyDescent="0.3">
      <c r="C11" s="2" t="s">
        <v>19</v>
      </c>
      <c r="D11" s="2">
        <v>5656</v>
      </c>
      <c r="E11" s="2">
        <v>25359</v>
      </c>
      <c r="F11" s="2">
        <v>612</v>
      </c>
      <c r="I11" s="8" t="s">
        <v>90</v>
      </c>
      <c r="J11" s="2">
        <v>49</v>
      </c>
      <c r="K11" s="2"/>
      <c r="L11" s="2"/>
      <c r="O11" t="str" cm="1">
        <f t="array" ref="O11:R11">VLOOKUP(C15,$C$6:$F$22,{1,2,3,4},0)</f>
        <v>Bdhruba</v>
      </c>
      <c r="P11">
        <v>16869</v>
      </c>
      <c r="Q11">
        <v>9126</v>
      </c>
      <c r="R11">
        <v>24523</v>
      </c>
    </row>
    <row r="12" spans="1:18" x14ac:dyDescent="0.3">
      <c r="C12" s="2" t="s">
        <v>25</v>
      </c>
      <c r="D12" s="2">
        <v>12539</v>
      </c>
      <c r="E12" s="2">
        <v>17087</v>
      </c>
      <c r="F12" s="2">
        <v>9475</v>
      </c>
      <c r="I12" s="8" t="s">
        <v>91</v>
      </c>
      <c r="J12" s="2"/>
      <c r="K12" s="2"/>
      <c r="L12" s="2"/>
      <c r="O12" t="str" cm="1">
        <f t="array" ref="O12:R12">VLOOKUP(C16,$C$6:$F$22,{1,2,3,4},0)</f>
        <v>Ujjal</v>
      </c>
      <c r="P12">
        <v>16214</v>
      </c>
      <c r="Q12">
        <v>16897</v>
      </c>
      <c r="R12">
        <v>7451</v>
      </c>
    </row>
    <row r="13" spans="1:18" x14ac:dyDescent="0.3">
      <c r="C13" s="2" t="s">
        <v>26</v>
      </c>
      <c r="D13" s="2">
        <v>1883</v>
      </c>
      <c r="E13" s="2">
        <v>3612</v>
      </c>
      <c r="F13" s="2">
        <v>7089</v>
      </c>
      <c r="I13" s="8" t="s">
        <v>92</v>
      </c>
      <c r="J13" s="2"/>
      <c r="K13" s="2"/>
      <c r="L13" s="2"/>
      <c r="O13" t="str" cm="1">
        <f t="array" ref="O13:R13">VLOOKUP(C17,$C$6:$F$22,{1,2,3,4},0)</f>
        <v>Pujjal</v>
      </c>
      <c r="P13">
        <v>6414</v>
      </c>
      <c r="Q13">
        <v>25392</v>
      </c>
      <c r="R13">
        <v>14001</v>
      </c>
    </row>
    <row r="14" spans="1:18" x14ac:dyDescent="0.3">
      <c r="C14" s="2" t="s">
        <v>27</v>
      </c>
      <c r="D14" s="2">
        <v>2862</v>
      </c>
      <c r="E14" s="2">
        <v>92231</v>
      </c>
      <c r="F14" s="2">
        <v>8441</v>
      </c>
      <c r="I14" s="8" t="s">
        <v>93</v>
      </c>
      <c r="J14" s="2"/>
      <c r="K14" s="2"/>
      <c r="L14" s="2"/>
      <c r="O14" t="str" cm="1">
        <f t="array" ref="O14:R14">VLOOKUP(C18,$C$6:$F$22,{1,2,3,4},0)</f>
        <v>Pulka</v>
      </c>
      <c r="P14">
        <v>1960</v>
      </c>
      <c r="Q14">
        <v>18301</v>
      </c>
      <c r="R14">
        <v>16735</v>
      </c>
    </row>
    <row r="15" spans="1:18" x14ac:dyDescent="0.3">
      <c r="C15" s="2" t="s">
        <v>28</v>
      </c>
      <c r="D15" s="2">
        <v>16869</v>
      </c>
      <c r="E15" s="2">
        <v>9126</v>
      </c>
      <c r="F15" s="2">
        <v>24523</v>
      </c>
      <c r="I15" s="8" t="s">
        <v>94</v>
      </c>
      <c r="J15" s="2"/>
      <c r="K15" s="2"/>
      <c r="L15" s="2"/>
    </row>
    <row r="16" spans="1:18" x14ac:dyDescent="0.3">
      <c r="C16" s="2" t="s">
        <v>29</v>
      </c>
      <c r="D16" s="2">
        <v>16214</v>
      </c>
      <c r="E16" s="2">
        <v>16897</v>
      </c>
      <c r="F16" s="2">
        <v>7451</v>
      </c>
      <c r="I16" s="8" t="s">
        <v>95</v>
      </c>
      <c r="J16" s="2"/>
      <c r="K16" s="2"/>
      <c r="L16" s="2"/>
    </row>
    <row r="17" spans="3:6" x14ac:dyDescent="0.3">
      <c r="C17" s="2" t="s">
        <v>30</v>
      </c>
      <c r="D17" s="2">
        <v>6414</v>
      </c>
      <c r="E17" s="2">
        <v>25392</v>
      </c>
      <c r="F17" s="2">
        <v>14001</v>
      </c>
    </row>
    <row r="18" spans="3:6" x14ac:dyDescent="0.3">
      <c r="C18" s="2" t="s">
        <v>31</v>
      </c>
      <c r="D18" s="2">
        <v>1960</v>
      </c>
      <c r="E18" s="2">
        <v>18301</v>
      </c>
      <c r="F18" s="2">
        <v>16735</v>
      </c>
    </row>
    <row r="19" spans="3:6" x14ac:dyDescent="0.3">
      <c r="C19" s="2" t="s">
        <v>32</v>
      </c>
      <c r="D19" s="2">
        <v>3251</v>
      </c>
      <c r="E19" s="2">
        <v>3907</v>
      </c>
      <c r="F19" s="2">
        <v>9116</v>
      </c>
    </row>
    <row r="20" spans="3:6" x14ac:dyDescent="0.3">
      <c r="C20" s="2" t="s">
        <v>33</v>
      </c>
      <c r="D20" s="2">
        <v>14788</v>
      </c>
      <c r="E20" s="2">
        <v>23583</v>
      </c>
      <c r="F20" s="2">
        <v>3652</v>
      </c>
    </row>
    <row r="21" spans="3:6" x14ac:dyDescent="0.3">
      <c r="C21" s="2" t="s">
        <v>34</v>
      </c>
      <c r="D21" s="2">
        <v>4500</v>
      </c>
      <c r="E21" s="2">
        <v>9658</v>
      </c>
      <c r="F21" s="2">
        <v>8758</v>
      </c>
    </row>
    <row r="22" spans="3:6" x14ac:dyDescent="0.3">
      <c r="C22" s="2" t="s">
        <v>35</v>
      </c>
      <c r="D22" s="2">
        <v>5690</v>
      </c>
      <c r="E22" s="2">
        <v>1234</v>
      </c>
      <c r="F22" s="2">
        <v>6667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D5B1-216A-4EB6-BECF-45917E6DED13}">
  <dimension ref="A1:J16"/>
  <sheetViews>
    <sheetView workbookViewId="0">
      <selection activeCell="J12" sqref="J12"/>
    </sheetView>
  </sheetViews>
  <sheetFormatPr defaultRowHeight="14.4" x14ac:dyDescent="0.3"/>
  <cols>
    <col min="1" max="1" width="10.88671875" customWidth="1"/>
    <col min="5" max="5" width="12.21875" customWidth="1"/>
    <col min="6" max="6" width="13.6640625" customWidth="1"/>
    <col min="9" max="10" width="10.77734375" customWidth="1"/>
  </cols>
  <sheetData>
    <row r="1" spans="1:10" x14ac:dyDescent="0.3">
      <c r="A1" s="6" t="s">
        <v>36</v>
      </c>
      <c r="B1" s="6" t="s">
        <v>37</v>
      </c>
      <c r="E1" s="14" t="s">
        <v>36</v>
      </c>
      <c r="F1" s="14" t="s">
        <v>41</v>
      </c>
      <c r="I1" s="17" t="s">
        <v>66</v>
      </c>
      <c r="J1" s="17" t="s">
        <v>96</v>
      </c>
    </row>
    <row r="2" spans="1:10" x14ac:dyDescent="0.3">
      <c r="A2" s="2" t="s">
        <v>38</v>
      </c>
      <c r="B2" s="2">
        <v>16</v>
      </c>
      <c r="E2" s="2" t="s">
        <v>52</v>
      </c>
      <c r="F2" s="2" t="str">
        <f>IF(VLOOKUP($F$1,A2:B16,2,0)&lt;=0,"Not in Stock","In Stock")</f>
        <v>Not in Stock</v>
      </c>
      <c r="I2" s="16" t="s">
        <v>97</v>
      </c>
      <c r="J2" s="15" t="s">
        <v>103</v>
      </c>
    </row>
    <row r="3" spans="1:10" x14ac:dyDescent="0.3">
      <c r="A3" s="2" t="s">
        <v>39</v>
      </c>
      <c r="B3" s="2">
        <v>0</v>
      </c>
      <c r="E3" s="2"/>
      <c r="F3" s="2"/>
      <c r="I3" s="16" t="s">
        <v>98</v>
      </c>
      <c r="J3" s="15" t="s">
        <v>104</v>
      </c>
    </row>
    <row r="4" spans="1:10" x14ac:dyDescent="0.3">
      <c r="A4" s="2" t="s">
        <v>40</v>
      </c>
      <c r="B4" s="2">
        <v>26</v>
      </c>
      <c r="I4" s="16" t="s">
        <v>99</v>
      </c>
      <c r="J4" s="15" t="s">
        <v>105</v>
      </c>
    </row>
    <row r="5" spans="1:10" x14ac:dyDescent="0.3">
      <c r="A5" s="2" t="s">
        <v>41</v>
      </c>
      <c r="B5" s="2">
        <v>0</v>
      </c>
      <c r="I5" s="16" t="s">
        <v>100</v>
      </c>
      <c r="J5" s="15" t="s">
        <v>106</v>
      </c>
    </row>
    <row r="6" spans="1:10" x14ac:dyDescent="0.3">
      <c r="A6" s="2" t="s">
        <v>42</v>
      </c>
      <c r="B6" s="2">
        <v>5</v>
      </c>
      <c r="I6" s="16" t="s">
        <v>101</v>
      </c>
      <c r="J6" s="15" t="s">
        <v>107</v>
      </c>
    </row>
    <row r="7" spans="1:10" x14ac:dyDescent="0.3">
      <c r="A7" s="2" t="s">
        <v>43</v>
      </c>
      <c r="B7" s="2">
        <v>22</v>
      </c>
      <c r="I7" s="16" t="s">
        <v>102</v>
      </c>
      <c r="J7" s="15" t="s">
        <v>108</v>
      </c>
    </row>
    <row r="8" spans="1:10" x14ac:dyDescent="0.3">
      <c r="A8" s="2" t="s">
        <v>44</v>
      </c>
      <c r="B8" s="2">
        <v>0</v>
      </c>
    </row>
    <row r="9" spans="1:10" x14ac:dyDescent="0.3">
      <c r="A9" s="2" t="s">
        <v>45</v>
      </c>
      <c r="B9" s="2">
        <v>34</v>
      </c>
    </row>
    <row r="10" spans="1:10" x14ac:dyDescent="0.3">
      <c r="A10" s="2" t="s">
        <v>46</v>
      </c>
      <c r="B10" s="2">
        <v>4</v>
      </c>
      <c r="I10" s="16" t="s">
        <v>96</v>
      </c>
      <c r="J10" s="15" t="s">
        <v>66</v>
      </c>
    </row>
    <row r="11" spans="1:10" x14ac:dyDescent="0.3">
      <c r="A11" s="2" t="s">
        <v>47</v>
      </c>
      <c r="B11" s="2">
        <v>7</v>
      </c>
      <c r="I11" s="15" t="s">
        <v>103</v>
      </c>
      <c r="J11" s="2" t="str">
        <f>VLOOKUP(I11,IF({1,0},J2:J7,I2:I7),2,0)</f>
        <v>John</v>
      </c>
    </row>
    <row r="12" spans="1:10" x14ac:dyDescent="0.3">
      <c r="A12" s="2" t="s">
        <v>48</v>
      </c>
      <c r="B12" s="2">
        <v>39</v>
      </c>
      <c r="I12" s="15" t="s">
        <v>104</v>
      </c>
      <c r="J12" s="2"/>
    </row>
    <row r="13" spans="1:10" x14ac:dyDescent="0.3">
      <c r="A13" s="2" t="s">
        <v>49</v>
      </c>
      <c r="B13" s="2">
        <v>4</v>
      </c>
      <c r="I13" s="15" t="s">
        <v>105</v>
      </c>
      <c r="J13" s="2"/>
    </row>
    <row r="14" spans="1:10" x14ac:dyDescent="0.3">
      <c r="A14" s="2" t="s">
        <v>50</v>
      </c>
      <c r="B14" s="2">
        <v>7</v>
      </c>
      <c r="I14" s="15" t="s">
        <v>106</v>
      </c>
      <c r="J14" s="2"/>
    </row>
    <row r="15" spans="1:10" x14ac:dyDescent="0.3">
      <c r="A15" s="2" t="s">
        <v>51</v>
      </c>
      <c r="B15" s="2">
        <v>39</v>
      </c>
      <c r="I15" s="15" t="s">
        <v>107</v>
      </c>
      <c r="J15" s="2"/>
    </row>
    <row r="16" spans="1:10" x14ac:dyDescent="0.3">
      <c r="A16" s="2" t="s">
        <v>51</v>
      </c>
      <c r="B16" s="2">
        <v>0</v>
      </c>
      <c r="I16" s="15" t="s">
        <v>108</v>
      </c>
      <c r="J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8809-528C-40C0-A20E-FBA99DCF400F}">
  <dimension ref="A1:J23"/>
  <sheetViews>
    <sheetView zoomScale="70" zoomScaleNormal="70" workbookViewId="0">
      <selection activeCell="F24" sqref="F24"/>
    </sheetView>
  </sheetViews>
  <sheetFormatPr defaultRowHeight="14.4" x14ac:dyDescent="0.3"/>
  <cols>
    <col min="1" max="1" width="16.88671875" customWidth="1"/>
    <col min="2" max="2" width="15.33203125" customWidth="1"/>
    <col min="3" max="3" width="14" customWidth="1"/>
    <col min="4" max="4" width="16.33203125" customWidth="1"/>
    <col min="7" max="10" width="17.5546875" customWidth="1"/>
  </cols>
  <sheetData>
    <row r="1" spans="1:10" ht="23.4" x14ac:dyDescent="0.45">
      <c r="A1" s="26" t="s">
        <v>63</v>
      </c>
      <c r="B1" s="26"/>
      <c r="C1" s="26"/>
      <c r="D1" s="26"/>
      <c r="E1" s="26"/>
      <c r="F1" s="26"/>
      <c r="G1" s="26"/>
      <c r="H1" s="26"/>
    </row>
    <row r="2" spans="1:10" x14ac:dyDescent="0.3">
      <c r="A2" s="9" t="s">
        <v>53</v>
      </c>
      <c r="B2" s="9" t="s">
        <v>54</v>
      </c>
      <c r="C2" s="9" t="s">
        <v>55</v>
      </c>
      <c r="D2" s="9" t="s">
        <v>56</v>
      </c>
    </row>
    <row r="3" spans="1:10" x14ac:dyDescent="0.3">
      <c r="A3" s="8">
        <v>2001006</v>
      </c>
      <c r="B3" s="8" t="s">
        <v>62</v>
      </c>
      <c r="C3" s="8" t="s">
        <v>60</v>
      </c>
      <c r="D3" s="8">
        <v>269590</v>
      </c>
    </row>
    <row r="4" spans="1:10" x14ac:dyDescent="0.3">
      <c r="A4" s="8">
        <v>2000575</v>
      </c>
      <c r="B4" s="8" t="s">
        <v>57</v>
      </c>
      <c r="C4" s="8" t="s">
        <v>61</v>
      </c>
      <c r="D4" s="8">
        <v>351366</v>
      </c>
    </row>
    <row r="5" spans="1:10" x14ac:dyDescent="0.3">
      <c r="A5" s="8">
        <v>2000226</v>
      </c>
      <c r="B5" s="8" t="s">
        <v>58</v>
      </c>
      <c r="C5" s="8" t="s">
        <v>61</v>
      </c>
      <c r="D5" s="8">
        <v>194871</v>
      </c>
    </row>
    <row r="6" spans="1:10" x14ac:dyDescent="0.3">
      <c r="A6" s="8">
        <v>2000300</v>
      </c>
      <c r="B6" s="8" t="s">
        <v>57</v>
      </c>
      <c r="C6" s="8" t="s">
        <v>61</v>
      </c>
      <c r="D6" s="8">
        <v>865266</v>
      </c>
    </row>
    <row r="7" spans="1:10" x14ac:dyDescent="0.3">
      <c r="A7" s="8">
        <v>2000794</v>
      </c>
      <c r="B7" s="8" t="s">
        <v>57</v>
      </c>
      <c r="C7" s="8" t="s">
        <v>61</v>
      </c>
      <c r="D7" s="8">
        <v>621520</v>
      </c>
    </row>
    <row r="8" spans="1:10" x14ac:dyDescent="0.3">
      <c r="A8" s="8">
        <v>2000845</v>
      </c>
      <c r="B8" s="8" t="s">
        <v>59</v>
      </c>
      <c r="C8" s="8" t="s">
        <v>60</v>
      </c>
      <c r="D8" s="8">
        <v>223265</v>
      </c>
    </row>
    <row r="9" spans="1:10" x14ac:dyDescent="0.3">
      <c r="A9" s="8">
        <v>2000790</v>
      </c>
      <c r="B9" s="8" t="s">
        <v>59</v>
      </c>
      <c r="C9" s="8" t="s">
        <v>61</v>
      </c>
      <c r="D9" s="8">
        <v>758567</v>
      </c>
    </row>
    <row r="10" spans="1:10" x14ac:dyDescent="0.3">
      <c r="A10" s="8">
        <v>2001482</v>
      </c>
      <c r="B10" s="8" t="s">
        <v>59</v>
      </c>
      <c r="C10" s="8" t="s">
        <v>61</v>
      </c>
      <c r="D10" s="8">
        <v>795447</v>
      </c>
    </row>
    <row r="11" spans="1:10" x14ac:dyDescent="0.3">
      <c r="A11" s="8">
        <v>2001567</v>
      </c>
      <c r="B11" s="8" t="s">
        <v>59</v>
      </c>
      <c r="C11" s="8" t="s">
        <v>60</v>
      </c>
      <c r="D11" s="8">
        <v>404909</v>
      </c>
    </row>
    <row r="12" spans="1:10" x14ac:dyDescent="0.3">
      <c r="A12" s="8">
        <v>2006789</v>
      </c>
      <c r="B12" s="8" t="s">
        <v>62</v>
      </c>
      <c r="C12" s="8" t="s">
        <v>61</v>
      </c>
      <c r="D12" s="8">
        <v>544180</v>
      </c>
    </row>
    <row r="15" spans="1:10" x14ac:dyDescent="0.3">
      <c r="A15" s="7" t="s">
        <v>53</v>
      </c>
      <c r="B15" s="7" t="s">
        <v>54</v>
      </c>
      <c r="C15" s="7" t="s">
        <v>55</v>
      </c>
      <c r="D15" s="7" t="s">
        <v>56</v>
      </c>
      <c r="G15" s="7" t="s">
        <v>53</v>
      </c>
      <c r="H15" s="7" t="s">
        <v>54</v>
      </c>
      <c r="I15" s="7" t="s">
        <v>55</v>
      </c>
      <c r="J15" s="7" t="s">
        <v>56</v>
      </c>
    </row>
    <row r="16" spans="1:10" x14ac:dyDescent="0.3">
      <c r="A16" s="8">
        <v>2001006</v>
      </c>
      <c r="B16" s="2" t="str">
        <f>VLOOKUP($A16,$A$3:$D$12,MATCH($B$15,$A$2:$D$2,0),0)</f>
        <v>Canada</v>
      </c>
      <c r="C16" s="2"/>
      <c r="D16" s="2"/>
      <c r="G16" s="8">
        <v>2001006</v>
      </c>
      <c r="H16" s="2" t="str">
        <f>VLOOKUP($G16,$A$3:$D$12,MATCH(H$15,$A$2:$D$2,0),0)</f>
        <v>Canada</v>
      </c>
      <c r="I16" s="2" t="str">
        <f t="shared" ref="I16:J20" si="0">VLOOKUP($G16,$A$3:$D$12,MATCH(I$15,$A$2:$D$2,0),0)</f>
        <v>Carretera</v>
      </c>
      <c r="J16" s="2">
        <f t="shared" si="0"/>
        <v>269590</v>
      </c>
    </row>
    <row r="17" spans="1:10" x14ac:dyDescent="0.3">
      <c r="A17" s="8">
        <v>2000575</v>
      </c>
      <c r="B17" s="2"/>
      <c r="C17" s="2"/>
      <c r="D17" s="2"/>
      <c r="G17" s="8">
        <v>2000575</v>
      </c>
      <c r="H17" s="2" t="str">
        <f t="shared" ref="H17:H20" si="1">VLOOKUP(G17,$A$3:$D$12,MATCH(H$15,$A$2:$D$2,0),0)</f>
        <v>Germany</v>
      </c>
      <c r="I17" s="2" t="str">
        <f t="shared" si="0"/>
        <v>Montana</v>
      </c>
      <c r="J17" s="2">
        <f t="shared" si="0"/>
        <v>351366</v>
      </c>
    </row>
    <row r="18" spans="1:10" x14ac:dyDescent="0.3">
      <c r="A18" s="8">
        <v>2000226</v>
      </c>
      <c r="B18" s="2"/>
      <c r="C18" s="2"/>
      <c r="D18" s="2"/>
      <c r="G18" s="8">
        <v>2000226</v>
      </c>
      <c r="H18" s="2" t="str">
        <f t="shared" si="1"/>
        <v>France</v>
      </c>
      <c r="I18" s="2" t="str">
        <f t="shared" si="0"/>
        <v>Montana</v>
      </c>
      <c r="J18" s="2"/>
    </row>
    <row r="19" spans="1:10" x14ac:dyDescent="0.3">
      <c r="A19" s="8">
        <v>2000300</v>
      </c>
      <c r="B19" s="2"/>
      <c r="C19" s="2"/>
      <c r="D19" s="2"/>
      <c r="G19" s="8">
        <v>2000300</v>
      </c>
      <c r="H19" s="2" t="str">
        <f t="shared" si="1"/>
        <v>Germany</v>
      </c>
      <c r="I19" s="2" t="str">
        <f t="shared" si="0"/>
        <v>Montana</v>
      </c>
      <c r="J19" s="2"/>
    </row>
    <row r="20" spans="1:10" x14ac:dyDescent="0.3">
      <c r="A20" s="8">
        <v>2000794</v>
      </c>
      <c r="B20" s="2"/>
      <c r="C20" s="2"/>
      <c r="D20" s="2"/>
      <c r="G20" s="8">
        <v>2000794</v>
      </c>
      <c r="H20" s="2" t="str">
        <f t="shared" si="1"/>
        <v>Germany</v>
      </c>
      <c r="I20" s="2" t="str">
        <f t="shared" si="0"/>
        <v>Montana</v>
      </c>
      <c r="J20" s="2"/>
    </row>
    <row r="23" spans="1:10" x14ac:dyDescent="0.3">
      <c r="A23" t="s">
        <v>64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5BBE-8747-489B-B6A5-D42157FD1B37}">
  <dimension ref="A1:D63"/>
  <sheetViews>
    <sheetView workbookViewId="0">
      <selection activeCell="F63" sqref="F63"/>
    </sheetView>
  </sheetViews>
  <sheetFormatPr defaultRowHeight="14.4" x14ac:dyDescent="0.3"/>
  <cols>
    <col min="3" max="3" width="14.88671875" customWidth="1"/>
  </cols>
  <sheetData>
    <row r="1" spans="1:4" ht="18" x14ac:dyDescent="0.3">
      <c r="A1" s="30" t="s">
        <v>188</v>
      </c>
      <c r="B1" s="30" t="s">
        <v>66</v>
      </c>
      <c r="C1" s="30" t="s">
        <v>189</v>
      </c>
      <c r="D1" s="30" t="s">
        <v>80</v>
      </c>
    </row>
    <row r="2" spans="1:4" x14ac:dyDescent="0.3">
      <c r="A2" s="31">
        <v>101</v>
      </c>
      <c r="B2" s="31" t="s">
        <v>190</v>
      </c>
      <c r="C2" s="31" t="s">
        <v>75</v>
      </c>
      <c r="D2" s="32">
        <v>50000</v>
      </c>
    </row>
    <row r="3" spans="1:4" x14ac:dyDescent="0.3">
      <c r="A3" s="31">
        <v>102</v>
      </c>
      <c r="B3" s="31" t="s">
        <v>191</v>
      </c>
      <c r="C3" s="31" t="s">
        <v>195</v>
      </c>
      <c r="D3" s="32">
        <v>55000</v>
      </c>
    </row>
    <row r="4" spans="1:4" x14ac:dyDescent="0.3">
      <c r="A4" s="31">
        <v>103</v>
      </c>
      <c r="B4" s="31" t="s">
        <v>192</v>
      </c>
      <c r="C4" s="31" t="s">
        <v>196</v>
      </c>
      <c r="D4" s="32">
        <v>60000</v>
      </c>
    </row>
    <row r="5" spans="1:4" x14ac:dyDescent="0.3">
      <c r="A5" s="31">
        <v>104</v>
      </c>
      <c r="B5" s="31" t="s">
        <v>193</v>
      </c>
      <c r="C5" s="31" t="s">
        <v>197</v>
      </c>
      <c r="D5" s="32">
        <v>52000</v>
      </c>
    </row>
    <row r="6" spans="1:4" x14ac:dyDescent="0.3">
      <c r="A6" s="31">
        <v>105</v>
      </c>
      <c r="B6" s="31" t="s">
        <v>194</v>
      </c>
      <c r="C6" s="31" t="s">
        <v>198</v>
      </c>
      <c r="D6" s="32">
        <v>65000</v>
      </c>
    </row>
    <row r="7" spans="1:4" x14ac:dyDescent="0.3">
      <c r="A7" s="31">
        <v>106</v>
      </c>
      <c r="B7" s="31" t="s">
        <v>200</v>
      </c>
      <c r="C7" s="31" t="s">
        <v>199</v>
      </c>
      <c r="D7" s="32">
        <v>80000</v>
      </c>
    </row>
    <row r="8" spans="1:4" x14ac:dyDescent="0.3">
      <c r="A8" s="31">
        <v>107</v>
      </c>
      <c r="B8" s="31" t="s">
        <v>201</v>
      </c>
      <c r="C8" s="31" t="s">
        <v>202</v>
      </c>
      <c r="D8" s="32">
        <v>90000</v>
      </c>
    </row>
    <row r="14" spans="1:4" x14ac:dyDescent="0.3">
      <c r="A14" t="str" cm="1">
        <f t="array" ref="A14">INDEX(A1:D8, MATCH(103, A1:A8, 0), VLOOKUP("Dept", {"Name",2;"Dept",3;"Salary",4}, 2, FALSE))</f>
        <v>IT</v>
      </c>
    </row>
    <row r="21" spans="1:4" x14ac:dyDescent="0.3">
      <c r="A21" t="s">
        <v>203</v>
      </c>
    </row>
    <row r="23" spans="1:4" x14ac:dyDescent="0.3">
      <c r="A23" t="s">
        <v>204</v>
      </c>
    </row>
    <row r="25" spans="1:4" x14ac:dyDescent="0.3">
      <c r="A25" t="s">
        <v>206</v>
      </c>
    </row>
    <row r="27" spans="1:4" x14ac:dyDescent="0.3">
      <c r="A27" t="s">
        <v>207</v>
      </c>
    </row>
    <row r="29" spans="1:4" x14ac:dyDescent="0.3">
      <c r="A29" t="s">
        <v>208</v>
      </c>
    </row>
    <row r="32" spans="1:4" x14ac:dyDescent="0.3">
      <c r="A32" t="s">
        <v>205</v>
      </c>
      <c r="D32" s="29"/>
    </row>
    <row r="33" spans="1:4" x14ac:dyDescent="0.3">
      <c r="D33" s="29"/>
    </row>
    <row r="34" spans="1:4" x14ac:dyDescent="0.3">
      <c r="A34" t="s">
        <v>209</v>
      </c>
      <c r="D34" s="29"/>
    </row>
    <row r="35" spans="1:4" x14ac:dyDescent="0.3">
      <c r="D35" s="29"/>
    </row>
    <row r="36" spans="1:4" x14ac:dyDescent="0.3">
      <c r="A36" t="str" cm="1">
        <f t="array" ref="A36">INDEX(A2:D6, MATCH(103, A2:A6, 0), VLOOKUP("Dept", {"Name",2;"Dept",3;"Salary",4}, 2, FALSE))</f>
        <v>IT</v>
      </c>
      <c r="D36" s="29"/>
    </row>
    <row r="39" spans="1:4" x14ac:dyDescent="0.3">
      <c r="A39" t="s">
        <v>205</v>
      </c>
    </row>
    <row r="41" spans="1:4" x14ac:dyDescent="0.3">
      <c r="A41" t="s">
        <v>210</v>
      </c>
    </row>
    <row r="43" spans="1:4" x14ac:dyDescent="0.3">
      <c r="A43" t="s">
        <v>211</v>
      </c>
    </row>
    <row r="45" spans="1:4" x14ac:dyDescent="0.3">
      <c r="A45" t="s">
        <v>212</v>
      </c>
    </row>
    <row r="47" spans="1:4" x14ac:dyDescent="0.3">
      <c r="A47" t="s">
        <v>213</v>
      </c>
    </row>
    <row r="51" spans="1:1" x14ac:dyDescent="0.3">
      <c r="A51" t="s">
        <v>205</v>
      </c>
    </row>
    <row r="53" spans="1:1" x14ac:dyDescent="0.3">
      <c r="A53" t="s">
        <v>214</v>
      </c>
    </row>
    <row r="55" spans="1:1" x14ac:dyDescent="0.3">
      <c r="A55" t="s">
        <v>215</v>
      </c>
    </row>
    <row r="57" spans="1:1" x14ac:dyDescent="0.3">
      <c r="A57" t="s">
        <v>216</v>
      </c>
    </row>
    <row r="59" spans="1:1" x14ac:dyDescent="0.3">
      <c r="A59" t="s">
        <v>217</v>
      </c>
    </row>
    <row r="63" spans="1:1" x14ac:dyDescent="0.3">
      <c r="A63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7FEE-4D4F-420A-95D7-218F828FC5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2B40-AB6B-462B-8841-BD24579B22D8}">
  <dimension ref="A2:E9"/>
  <sheetViews>
    <sheetView workbookViewId="0">
      <selection activeCell="E17" sqref="E17"/>
    </sheetView>
  </sheetViews>
  <sheetFormatPr defaultRowHeight="18" x14ac:dyDescent="0.35"/>
  <cols>
    <col min="1" max="3" width="13.88671875" style="33" customWidth="1"/>
    <col min="4" max="16384" width="8.88671875" style="33"/>
  </cols>
  <sheetData>
    <row r="2" spans="1:5" x14ac:dyDescent="0.35">
      <c r="A2" s="35" t="s">
        <v>226</v>
      </c>
      <c r="B2" s="35" t="s">
        <v>225</v>
      </c>
      <c r="D2" s="35" t="s">
        <v>226</v>
      </c>
      <c r="E2" s="35" t="s">
        <v>225</v>
      </c>
    </row>
    <row r="3" spans="1:5" x14ac:dyDescent="0.35">
      <c r="A3" s="34">
        <v>1</v>
      </c>
      <c r="B3" s="34" t="s">
        <v>224</v>
      </c>
      <c r="D3" s="33">
        <v>2</v>
      </c>
      <c r="E3" s="33" t="str" cm="1">
        <f t="array" ref="E3">_xlfn.SWITCH(D3,A3,B3,A4,B4,A5,B5,A6,B6,A7,B7,A8,B8,A9,B9)</f>
        <v>Monday</v>
      </c>
    </row>
    <row r="4" spans="1:5" x14ac:dyDescent="0.35">
      <c r="A4" s="34">
        <v>2</v>
      </c>
      <c r="B4" s="34" t="s">
        <v>223</v>
      </c>
    </row>
    <row r="5" spans="1:5" x14ac:dyDescent="0.35">
      <c r="A5" s="34">
        <v>3</v>
      </c>
      <c r="B5" s="34" t="s">
        <v>222</v>
      </c>
    </row>
    <row r="6" spans="1:5" x14ac:dyDescent="0.35">
      <c r="A6" s="34">
        <v>4</v>
      </c>
      <c r="B6" s="34" t="s">
        <v>221</v>
      </c>
    </row>
    <row r="7" spans="1:5" x14ac:dyDescent="0.35">
      <c r="A7" s="34">
        <v>5</v>
      </c>
      <c r="B7" s="34" t="s">
        <v>220</v>
      </c>
    </row>
    <row r="8" spans="1:5" x14ac:dyDescent="0.35">
      <c r="A8" s="34">
        <v>6</v>
      </c>
      <c r="B8" s="34" t="s">
        <v>219</v>
      </c>
    </row>
    <row r="9" spans="1:5" x14ac:dyDescent="0.35">
      <c r="A9" s="34">
        <v>7</v>
      </c>
      <c r="B9" s="34" t="s">
        <v>218</v>
      </c>
    </row>
  </sheetData>
  <dataValidations count="1">
    <dataValidation type="list" allowBlank="1" showInputMessage="1" showErrorMessage="1" sqref="D3" xr:uid="{714D3887-7D7D-41AA-BFEE-D060216038EF}">
      <formula1>$A$3:$A$9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4DFB-260E-46DA-B988-AB7FC2F2EDD5}">
  <dimension ref="C4:G25"/>
  <sheetViews>
    <sheetView showGridLines="0" showRowColHeaders="0" tabSelected="1" topLeftCell="A4" zoomScale="130" zoomScaleNormal="130" workbookViewId="0">
      <selection activeCell="E11" sqref="E11"/>
    </sheetView>
  </sheetViews>
  <sheetFormatPr defaultRowHeight="18" x14ac:dyDescent="0.35"/>
  <cols>
    <col min="1" max="2" width="10.44140625" style="33" customWidth="1"/>
    <col min="3" max="3" width="18.33203125" style="33" customWidth="1"/>
    <col min="4" max="4" width="31.33203125" style="33" customWidth="1"/>
    <col min="5" max="5" width="8.88671875" style="33"/>
    <col min="6" max="6" width="13.21875" style="33" customWidth="1"/>
    <col min="7" max="16384" width="8.88671875" style="33"/>
  </cols>
  <sheetData>
    <row r="4" spans="3:7" ht="18.600000000000001" thickBot="1" x14ac:dyDescent="0.4">
      <c r="C4" s="42" t="s">
        <v>233</v>
      </c>
      <c r="D4" s="42"/>
      <c r="E4" s="41" t="s">
        <v>17</v>
      </c>
    </row>
    <row r="5" spans="3:7" ht="18.600000000000001" thickTop="1" x14ac:dyDescent="0.35"/>
    <row r="8" spans="3:7" x14ac:dyDescent="0.35">
      <c r="C8" s="40" t="s">
        <v>232</v>
      </c>
      <c r="D8" s="39" t="s">
        <v>153</v>
      </c>
      <c r="E8" s="38" t="s">
        <v>231</v>
      </c>
      <c r="F8" s="38" t="s">
        <v>230</v>
      </c>
      <c r="G8" s="38" t="s">
        <v>229</v>
      </c>
    </row>
    <row r="9" spans="3:7" x14ac:dyDescent="0.35">
      <c r="C9" s="37" t="s">
        <v>228</v>
      </c>
      <c r="D9" s="36" t="str">
        <f>VLOOKUP($C$9,_xlfn.SWITCH($E$4,"jan",Tablejan[],"feb",Tablefeb[],"mar",Tablemar[],"apr",Tableapr[],"may",TableMay[],"jun",Tablejun[]),COLUMNS($C$8:D8),0)</f>
        <v>Mobile Adapter</v>
      </c>
      <c r="E9" s="36">
        <f>VLOOKUP($C$9,_xlfn.SWITCH($E$4,"jan",Tablejan[],"feb",Tablefeb[],"mar",Tablemar[],"apr",Tableapr[],"may",TableMay[],"jun",Tablejun[]),COLUMNS($C$8:E8),0)</f>
        <v>300</v>
      </c>
      <c r="F9" s="36">
        <f>VLOOKUP($C$9,_xlfn.SWITCH($E$4,"jan",Tablejan[],"feb",Tablefeb[],"mar",Tablemar[],"apr",Tableapr[],"may",TableMay[],"jun",Tablejun[]),COLUMNS($C$8:F8),0)</f>
        <v>5</v>
      </c>
      <c r="G9" s="36">
        <f>VLOOKUP($C$9,_xlfn.SWITCH($E$4,"jan",Tablejan[],"feb",Tablefeb[],"mar",Tablemar[],"apr",Tableapr[],"may",TableMay[],"jun",Tablejun[]),COLUMNS($C$8:G8),0)</f>
        <v>1500</v>
      </c>
    </row>
    <row r="10" spans="3:7" x14ac:dyDescent="0.35">
      <c r="E10" s="33" t="s">
        <v>259</v>
      </c>
    </row>
    <row r="25" spans="3:3" x14ac:dyDescent="0.35">
      <c r="C25" s="33" t="s">
        <v>227</v>
      </c>
    </row>
  </sheetData>
  <dataValidations count="1">
    <dataValidation type="list" allowBlank="1" showInputMessage="1" showErrorMessage="1" sqref="E4" xr:uid="{662D9165-697C-43CF-A513-E49AC4FD61CF}">
      <formula1>"Jan,Feb,Mar,Apr,May,Jun,Jul"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7C32-9E01-416B-9C3F-82761598BF29}">
  <dimension ref="B2:F15"/>
  <sheetViews>
    <sheetView workbookViewId="0">
      <selection activeCell="C20" sqref="C20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10</v>
      </c>
      <c r="F3" s="46">
        <f>D3*E3</f>
        <v>2000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23</v>
      </c>
      <c r="F4" s="46">
        <f>D4*E4</f>
        <v>17940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43</v>
      </c>
      <c r="F5" s="46">
        <f>D5*E5</f>
        <v>73100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34</v>
      </c>
      <c r="F6" s="46">
        <f>D6*E6</f>
        <v>8500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45</v>
      </c>
      <c r="F7" s="46">
        <f>D7*E7</f>
        <v>20250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54</v>
      </c>
      <c r="F8" s="46">
        <f>D8*E8</f>
        <v>270000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43</v>
      </c>
      <c r="F9" s="46">
        <f>D9*E9</f>
        <v>141900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23</v>
      </c>
      <c r="F10" s="46">
        <f>D10*E10</f>
        <v>66700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333</v>
      </c>
      <c r="F11" s="46">
        <f>D11*E11</f>
        <v>89910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54</v>
      </c>
      <c r="F12" s="46">
        <f>D12*E12</f>
        <v>27000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56</v>
      </c>
      <c r="F13" s="46">
        <f>D13*E13</f>
        <v>16800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76</v>
      </c>
      <c r="F14" s="46">
        <f>D14*E14</f>
        <v>4180000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45</v>
      </c>
      <c r="F15" s="43">
        <f>D15*E15</f>
        <v>270000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41D6-709C-448D-B5B4-7A5DE6373862}">
  <dimension ref="B2:F15"/>
  <sheetViews>
    <sheetView workbookViewId="0">
      <selection activeCell="D9" sqref="D9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120</v>
      </c>
      <c r="F3" s="46">
        <f>D3*E3</f>
        <v>24000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110</v>
      </c>
      <c r="F4" s="46">
        <f>D4*E4</f>
        <v>85800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5</v>
      </c>
      <c r="F5" s="46">
        <f>D5*E5</f>
        <v>8500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140</v>
      </c>
      <c r="F6" s="46">
        <f>D6*E6</f>
        <v>35000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23</v>
      </c>
      <c r="F7" s="46">
        <f>D7*E7</f>
        <v>10350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65</v>
      </c>
      <c r="F8" s="46">
        <f>D8*E8</f>
        <v>325000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111</v>
      </c>
      <c r="F9" s="46">
        <f>D9*E9</f>
        <v>366300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6</v>
      </c>
      <c r="F10" s="46">
        <f>D10*E10</f>
        <v>17400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8</v>
      </c>
      <c r="F11" s="46">
        <f>D11*E11</f>
        <v>2160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9</v>
      </c>
      <c r="F12" s="46">
        <f>D12*E12</f>
        <v>4500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5</v>
      </c>
      <c r="F13" s="46">
        <f>D13*E13</f>
        <v>1500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11</v>
      </c>
      <c r="F14" s="46">
        <f>D14*E14</f>
        <v>605000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6</v>
      </c>
      <c r="F15" s="43">
        <f>D15*E15</f>
        <v>36000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0BE1-E25E-4FFB-8218-4B3F7FCBC4B0}">
  <dimension ref="B2:F15"/>
  <sheetViews>
    <sheetView workbookViewId="0">
      <selection activeCell="B2" sqref="B2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5</v>
      </c>
      <c r="F3" s="46">
        <f>D3*E3</f>
        <v>1000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5</v>
      </c>
      <c r="F4" s="46">
        <f>D4*E4</f>
        <v>3900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5</v>
      </c>
      <c r="F5" s="46">
        <f>D5*E5</f>
        <v>8500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5</v>
      </c>
      <c r="F6" s="46">
        <f>D6*E6</f>
        <v>1250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5</v>
      </c>
      <c r="F7" s="46">
        <f>D7*E7</f>
        <v>2250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10</v>
      </c>
      <c r="F8" s="46">
        <f>D8*E8</f>
        <v>50000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10</v>
      </c>
      <c r="F9" s="46">
        <f>D9*E9</f>
        <v>33000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35</v>
      </c>
      <c r="F10" s="46">
        <f>D10*E10</f>
        <v>101500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5</v>
      </c>
      <c r="F11" s="46">
        <f>D11*E11</f>
        <v>1350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110</v>
      </c>
      <c r="F12" s="46">
        <f>D12*E12</f>
        <v>55000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120</v>
      </c>
      <c r="F13" s="46">
        <f>D13*E13</f>
        <v>36000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110</v>
      </c>
      <c r="F14" s="46">
        <f>D14*E14</f>
        <v>6050000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105</v>
      </c>
      <c r="F15" s="43">
        <f>D15*E15</f>
        <v>630000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8F70-7984-485E-A0FE-F57F347A0D46}">
  <dimension ref="B2:F15"/>
  <sheetViews>
    <sheetView workbookViewId="0">
      <selection activeCell="B2" sqref="B2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200</v>
      </c>
      <c r="F3" s="46">
        <f>D3*E3</f>
        <v>40000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150</v>
      </c>
      <c r="F4" s="46">
        <f>D4*E4</f>
        <v>117000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15</v>
      </c>
      <c r="F5" s="46">
        <f>D5*E5</f>
        <v>25500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15</v>
      </c>
      <c r="F6" s="46">
        <f>D6*E6</f>
        <v>3750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15</v>
      </c>
      <c r="F7" s="46">
        <f>D7*E7</f>
        <v>6750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15</v>
      </c>
      <c r="F8" s="46">
        <f>D8*E8</f>
        <v>75000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107</v>
      </c>
      <c r="F9" s="46">
        <f>D9*E9</f>
        <v>353100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23</v>
      </c>
      <c r="F10" s="46">
        <f>D10*E10</f>
        <v>66700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333</v>
      </c>
      <c r="F11" s="46">
        <f>D11*E11</f>
        <v>89910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54</v>
      </c>
      <c r="F12" s="46">
        <f>D12*E12</f>
        <v>27000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56</v>
      </c>
      <c r="F13" s="46">
        <f>D13*E13</f>
        <v>16800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76</v>
      </c>
      <c r="F14" s="46">
        <f>D14*E14</f>
        <v>4180000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45</v>
      </c>
      <c r="F15" s="43">
        <f>D15*E15</f>
        <v>270000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654D-94D1-4016-9CC6-C4AD838AA05C}">
  <dimension ref="B2:F15"/>
  <sheetViews>
    <sheetView workbookViewId="0">
      <selection activeCell="D11" sqref="D11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30</v>
      </c>
      <c r="F3" s="46">
        <f>D3*E3</f>
        <v>6000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30</v>
      </c>
      <c r="F4" s="46">
        <f>D4*E4</f>
        <v>23400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5</v>
      </c>
      <c r="F5" s="46">
        <f>D5*E5</f>
        <v>8500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40</v>
      </c>
      <c r="F6" s="46">
        <f>D6*E6</f>
        <v>10000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23</v>
      </c>
      <c r="F7" s="46">
        <f>D7*E7</f>
        <v>10350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65</v>
      </c>
      <c r="F8" s="46">
        <f>D8*E8</f>
        <v>325000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10</v>
      </c>
      <c r="F9" s="46">
        <f>D9*E9</f>
        <v>33000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6</v>
      </c>
      <c r="F10" s="46">
        <f>D10*E10</f>
        <v>17400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8</v>
      </c>
      <c r="F11" s="46">
        <f>D11*E11</f>
        <v>2160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109</v>
      </c>
      <c r="F12" s="46">
        <f>D12*E12</f>
        <v>54500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5</v>
      </c>
      <c r="F13" s="46">
        <f>D13*E13</f>
        <v>1500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11</v>
      </c>
      <c r="F14" s="46">
        <f>D14*E14</f>
        <v>605000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6</v>
      </c>
      <c r="F15" s="43">
        <f>D15*E15</f>
        <v>36000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3C9A-E2FF-4263-80BF-BEE8CEF696BE}">
  <dimension ref="B2:F15"/>
  <sheetViews>
    <sheetView workbookViewId="0">
      <selection sqref="A1:XFD1048576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10</v>
      </c>
      <c r="F3" s="46">
        <f>D3*E3</f>
        <v>2000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10</v>
      </c>
      <c r="F4" s="46">
        <f>D4*E4</f>
        <v>7800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10</v>
      </c>
      <c r="F5" s="46">
        <f>D5*E5</f>
        <v>17000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10</v>
      </c>
      <c r="F6" s="46">
        <f>D6*E6</f>
        <v>2500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40</v>
      </c>
      <c r="F7" s="46">
        <f>D7*E7</f>
        <v>18000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50</v>
      </c>
      <c r="F8" s="46">
        <f>D8*E8</f>
        <v>250000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5</v>
      </c>
      <c r="F9" s="46">
        <f>D9*E9</f>
        <v>16500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5</v>
      </c>
      <c r="F10" s="46">
        <f>D10*E10</f>
        <v>14500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5</v>
      </c>
      <c r="F11" s="46">
        <f>D11*E11</f>
        <v>1350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5</v>
      </c>
      <c r="F12" s="46">
        <f>D12*E12</f>
        <v>2500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10</v>
      </c>
      <c r="F13" s="46">
        <f>D13*E13</f>
        <v>3000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10</v>
      </c>
      <c r="F14" s="46">
        <f>D14*E14</f>
        <v>550000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10</v>
      </c>
      <c r="F15" s="43">
        <f>D15*E15</f>
        <v>60000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14C8-A030-4BCD-AD32-55DD5E702C0D}">
  <dimension ref="B2:F15"/>
  <sheetViews>
    <sheetView workbookViewId="0">
      <selection activeCell="E10" sqref="E10"/>
    </sheetView>
  </sheetViews>
  <sheetFormatPr defaultRowHeight="18" x14ac:dyDescent="0.35"/>
  <cols>
    <col min="1" max="1" width="8.88671875" style="33"/>
    <col min="2" max="2" width="16.21875" style="33" customWidth="1"/>
    <col min="3" max="3" width="27.77734375" style="33" customWidth="1"/>
    <col min="4" max="4" width="8.88671875" style="33"/>
    <col min="5" max="5" width="12.21875" style="33" customWidth="1"/>
    <col min="6" max="16384" width="8.88671875" style="33"/>
  </cols>
  <sheetData>
    <row r="2" spans="2:6" x14ac:dyDescent="0.35">
      <c r="B2" s="50" t="s">
        <v>232</v>
      </c>
      <c r="C2" s="49" t="s">
        <v>153</v>
      </c>
      <c r="D2" s="49" t="s">
        <v>231</v>
      </c>
      <c r="E2" s="49" t="s">
        <v>230</v>
      </c>
      <c r="F2" s="48" t="s">
        <v>229</v>
      </c>
    </row>
    <row r="3" spans="2:6" x14ac:dyDescent="0.35">
      <c r="B3" s="47" t="s">
        <v>258</v>
      </c>
      <c r="C3" s="34" t="s">
        <v>257</v>
      </c>
      <c r="D3" s="34">
        <v>200</v>
      </c>
      <c r="E3" s="34">
        <v>10</v>
      </c>
      <c r="F3" s="46">
        <f>D3*E3</f>
        <v>2000</v>
      </c>
    </row>
    <row r="4" spans="2:6" x14ac:dyDescent="0.35">
      <c r="B4" s="47" t="s">
        <v>256</v>
      </c>
      <c r="C4" s="34" t="s">
        <v>255</v>
      </c>
      <c r="D4" s="34">
        <v>780</v>
      </c>
      <c r="E4" s="34">
        <v>10</v>
      </c>
      <c r="F4" s="46">
        <f>D4*E4</f>
        <v>7800</v>
      </c>
    </row>
    <row r="5" spans="2:6" x14ac:dyDescent="0.35">
      <c r="B5" s="47" t="s">
        <v>254</v>
      </c>
      <c r="C5" s="34" t="s">
        <v>253</v>
      </c>
      <c r="D5" s="34">
        <v>1700</v>
      </c>
      <c r="E5" s="34">
        <v>10</v>
      </c>
      <c r="F5" s="46">
        <f>D5*E5</f>
        <v>17000</v>
      </c>
    </row>
    <row r="6" spans="2:6" x14ac:dyDescent="0.35">
      <c r="B6" s="47" t="s">
        <v>252</v>
      </c>
      <c r="C6" s="34" t="s">
        <v>251</v>
      </c>
      <c r="D6" s="34">
        <v>250</v>
      </c>
      <c r="E6" s="34">
        <v>10</v>
      </c>
      <c r="F6" s="46">
        <f>D6*E6</f>
        <v>2500</v>
      </c>
    </row>
    <row r="7" spans="2:6" x14ac:dyDescent="0.35">
      <c r="B7" s="47" t="s">
        <v>250</v>
      </c>
      <c r="C7" s="34" t="s">
        <v>249</v>
      </c>
      <c r="D7" s="34">
        <v>450</v>
      </c>
      <c r="E7" s="34">
        <v>40</v>
      </c>
      <c r="F7" s="46">
        <f>D7*E7</f>
        <v>18000</v>
      </c>
    </row>
    <row r="8" spans="2:6" x14ac:dyDescent="0.35">
      <c r="B8" s="47" t="s">
        <v>248</v>
      </c>
      <c r="C8" s="34" t="s">
        <v>247</v>
      </c>
      <c r="D8" s="34">
        <v>5000</v>
      </c>
      <c r="E8" s="34">
        <v>50</v>
      </c>
      <c r="F8" s="46">
        <f>D8*E8</f>
        <v>250000</v>
      </c>
    </row>
    <row r="9" spans="2:6" x14ac:dyDescent="0.35">
      <c r="B9" s="47" t="s">
        <v>246</v>
      </c>
      <c r="C9" s="34" t="s">
        <v>245</v>
      </c>
      <c r="D9" s="34">
        <v>3300</v>
      </c>
      <c r="E9" s="34">
        <v>5</v>
      </c>
      <c r="F9" s="46">
        <f>D9*E9</f>
        <v>16500</v>
      </c>
    </row>
    <row r="10" spans="2:6" x14ac:dyDescent="0.35">
      <c r="B10" s="47" t="s">
        <v>244</v>
      </c>
      <c r="C10" s="34" t="s">
        <v>243</v>
      </c>
      <c r="D10" s="34">
        <v>2900</v>
      </c>
      <c r="E10" s="34">
        <v>5</v>
      </c>
      <c r="F10" s="46">
        <f>D10*E10</f>
        <v>14500</v>
      </c>
    </row>
    <row r="11" spans="2:6" x14ac:dyDescent="0.35">
      <c r="B11" s="47" t="s">
        <v>242</v>
      </c>
      <c r="C11" s="34" t="s">
        <v>241</v>
      </c>
      <c r="D11" s="34">
        <v>270</v>
      </c>
      <c r="E11" s="34">
        <v>5</v>
      </c>
      <c r="F11" s="46">
        <f>D11*E11</f>
        <v>1350</v>
      </c>
    </row>
    <row r="12" spans="2:6" x14ac:dyDescent="0.35">
      <c r="B12" s="47" t="s">
        <v>240</v>
      </c>
      <c r="C12" s="34" t="s">
        <v>239</v>
      </c>
      <c r="D12" s="34">
        <v>500</v>
      </c>
      <c r="E12" s="34">
        <v>5</v>
      </c>
      <c r="F12" s="46">
        <f>D12*E12</f>
        <v>2500</v>
      </c>
    </row>
    <row r="13" spans="2:6" x14ac:dyDescent="0.35">
      <c r="B13" s="47" t="s">
        <v>228</v>
      </c>
      <c r="C13" s="34" t="s">
        <v>238</v>
      </c>
      <c r="D13" s="34">
        <v>300</v>
      </c>
      <c r="E13" s="34">
        <v>10</v>
      </c>
      <c r="F13" s="46">
        <f>D13*E13</f>
        <v>3000</v>
      </c>
    </row>
    <row r="14" spans="2:6" x14ac:dyDescent="0.35">
      <c r="B14" s="47" t="s">
        <v>237</v>
      </c>
      <c r="C14" s="34" t="s">
        <v>236</v>
      </c>
      <c r="D14" s="34">
        <v>55000</v>
      </c>
      <c r="E14" s="34">
        <v>10</v>
      </c>
      <c r="F14" s="46">
        <f>D14*E14</f>
        <v>550000</v>
      </c>
    </row>
    <row r="15" spans="2:6" x14ac:dyDescent="0.35">
      <c r="B15" s="45" t="s">
        <v>235</v>
      </c>
      <c r="C15" s="44" t="s">
        <v>234</v>
      </c>
      <c r="D15" s="44">
        <v>6000</v>
      </c>
      <c r="E15" s="44">
        <v>10</v>
      </c>
      <c r="F15" s="43">
        <f>D15*E15</f>
        <v>60000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6766-409E-47CC-9A23-F74602881FD8}">
  <dimension ref="A1:H15"/>
  <sheetViews>
    <sheetView workbookViewId="0">
      <selection activeCell="D18" sqref="D18"/>
    </sheetView>
  </sheetViews>
  <sheetFormatPr defaultRowHeight="14.4" x14ac:dyDescent="0.3"/>
  <cols>
    <col min="1" max="5" width="12.33203125" customWidth="1"/>
  </cols>
  <sheetData>
    <row r="1" spans="1:8" x14ac:dyDescent="0.3">
      <c r="A1" s="7" t="s">
        <v>113</v>
      </c>
      <c r="B1" s="7" t="s">
        <v>109</v>
      </c>
      <c r="C1" s="7" t="s">
        <v>110</v>
      </c>
      <c r="D1" s="7" t="s">
        <v>111</v>
      </c>
      <c r="E1" s="7" t="s">
        <v>112</v>
      </c>
    </row>
    <row r="2" spans="1:8" x14ac:dyDescent="0.3">
      <c r="A2" s="8" t="s">
        <v>114</v>
      </c>
      <c r="B2" s="18">
        <v>34820</v>
      </c>
      <c r="C2" s="8" t="s">
        <v>129</v>
      </c>
      <c r="D2" s="8" t="s">
        <v>139</v>
      </c>
      <c r="E2" s="8">
        <v>45000</v>
      </c>
      <c r="H2" s="2" t="s">
        <v>177</v>
      </c>
    </row>
    <row r="3" spans="1:8" x14ac:dyDescent="0.3">
      <c r="A3" s="8" t="s">
        <v>115</v>
      </c>
      <c r="B3" s="18">
        <v>34248</v>
      </c>
      <c r="C3" s="8" t="s">
        <v>130</v>
      </c>
      <c r="D3" s="8" t="s">
        <v>140</v>
      </c>
      <c r="E3" s="8">
        <v>35000</v>
      </c>
      <c r="H3" s="2" t="s">
        <v>176</v>
      </c>
    </row>
    <row r="4" spans="1:8" x14ac:dyDescent="0.3">
      <c r="A4" s="8" t="s">
        <v>116</v>
      </c>
      <c r="B4" s="8" t="s">
        <v>124</v>
      </c>
      <c r="C4" s="8" t="s">
        <v>129</v>
      </c>
      <c r="D4" s="8" t="s">
        <v>141</v>
      </c>
      <c r="E4" s="8">
        <v>93200</v>
      </c>
      <c r="H4" s="8" t="s">
        <v>114</v>
      </c>
    </row>
    <row r="5" spans="1:8" x14ac:dyDescent="0.3">
      <c r="A5" s="8" t="s">
        <v>117</v>
      </c>
      <c r="B5" s="8" t="s">
        <v>125</v>
      </c>
      <c r="C5" s="8" t="s">
        <v>131</v>
      </c>
      <c r="D5" s="8" t="s">
        <v>142</v>
      </c>
      <c r="E5" s="8">
        <v>30500</v>
      </c>
      <c r="H5" s="8" t="s">
        <v>115</v>
      </c>
    </row>
    <row r="6" spans="1:8" x14ac:dyDescent="0.3">
      <c r="A6" s="8" t="s">
        <v>118</v>
      </c>
      <c r="B6" s="8" t="s">
        <v>126</v>
      </c>
      <c r="C6" s="8" t="s">
        <v>132</v>
      </c>
      <c r="D6" s="8" t="s">
        <v>143</v>
      </c>
      <c r="E6" s="8">
        <v>50300</v>
      </c>
      <c r="H6" s="8" t="s">
        <v>116</v>
      </c>
    </row>
    <row r="7" spans="1:8" x14ac:dyDescent="0.3">
      <c r="A7" s="8" t="s">
        <v>95</v>
      </c>
      <c r="B7" s="8" t="s">
        <v>127</v>
      </c>
      <c r="C7" s="8" t="s">
        <v>133</v>
      </c>
      <c r="D7" s="8" t="s">
        <v>144</v>
      </c>
      <c r="E7" s="8">
        <v>20000</v>
      </c>
      <c r="H7" s="8" t="s">
        <v>117</v>
      </c>
    </row>
    <row r="8" spans="1:8" x14ac:dyDescent="0.3">
      <c r="A8" s="8" t="s">
        <v>119</v>
      </c>
      <c r="B8" s="8" t="s">
        <v>128</v>
      </c>
      <c r="C8" s="8" t="s">
        <v>134</v>
      </c>
      <c r="D8" s="8" t="s">
        <v>145</v>
      </c>
      <c r="E8" s="8">
        <v>45000</v>
      </c>
      <c r="H8" s="8" t="s">
        <v>118</v>
      </c>
    </row>
    <row r="9" spans="1:8" x14ac:dyDescent="0.3">
      <c r="A9" s="8" t="s">
        <v>120</v>
      </c>
      <c r="B9" s="18">
        <v>34458</v>
      </c>
      <c r="C9" s="8" t="s">
        <v>135</v>
      </c>
      <c r="D9" s="8" t="s">
        <v>146</v>
      </c>
      <c r="E9" s="8">
        <v>65000</v>
      </c>
      <c r="H9" s="8" t="s">
        <v>95</v>
      </c>
    </row>
    <row r="10" spans="1:8" x14ac:dyDescent="0.3">
      <c r="A10" s="8" t="s">
        <v>121</v>
      </c>
      <c r="B10" s="18">
        <v>36013</v>
      </c>
      <c r="C10" s="8" t="s">
        <v>136</v>
      </c>
      <c r="D10" s="8" t="s">
        <v>147</v>
      </c>
      <c r="E10" s="8">
        <v>89300</v>
      </c>
      <c r="H10" s="8" t="s">
        <v>119</v>
      </c>
    </row>
    <row r="11" spans="1:8" x14ac:dyDescent="0.3">
      <c r="A11" s="8" t="s">
        <v>122</v>
      </c>
      <c r="B11" s="18">
        <v>33366</v>
      </c>
      <c r="C11" s="8" t="s">
        <v>137</v>
      </c>
      <c r="D11" s="8" t="s">
        <v>148</v>
      </c>
      <c r="E11" s="8">
        <v>69000</v>
      </c>
      <c r="H11" s="8" t="s">
        <v>120</v>
      </c>
    </row>
    <row r="12" spans="1:8" x14ac:dyDescent="0.3">
      <c r="A12" s="8" t="s">
        <v>123</v>
      </c>
      <c r="B12" s="18">
        <v>35099</v>
      </c>
      <c r="C12" s="8" t="s">
        <v>138</v>
      </c>
      <c r="D12" s="8" t="s">
        <v>149</v>
      </c>
      <c r="E12" s="8">
        <v>78000</v>
      </c>
      <c r="H12" s="8" t="s">
        <v>121</v>
      </c>
    </row>
    <row r="13" spans="1:8" x14ac:dyDescent="0.3">
      <c r="H13" s="8" t="s">
        <v>122</v>
      </c>
    </row>
    <row r="14" spans="1:8" x14ac:dyDescent="0.3">
      <c r="A14" s="20" t="s">
        <v>176</v>
      </c>
    </row>
    <row r="15" spans="1:8" x14ac:dyDescent="0.3">
      <c r="A15" t="str">
        <f>IFERROR(VLOOKUP(A14,A2:E12,3,FALSE),"NOT FOUND")</f>
        <v>NOT FOUND</v>
      </c>
    </row>
  </sheetData>
  <dataValidations count="1">
    <dataValidation type="list" allowBlank="1" showInputMessage="1" showErrorMessage="1" sqref="A14" xr:uid="{A3F5B514-0A1C-4D49-8A77-379B160379FE}">
      <formula1>$H$2:$H$13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3D6A-28E6-47D3-80A4-6B0EF56F05A1}">
  <dimension ref="A1:E23"/>
  <sheetViews>
    <sheetView workbookViewId="0">
      <selection activeCell="A4" sqref="A4:E15"/>
    </sheetView>
  </sheetViews>
  <sheetFormatPr defaultRowHeight="14.4" x14ac:dyDescent="0.3"/>
  <cols>
    <col min="1" max="1" width="20" customWidth="1"/>
    <col min="2" max="2" width="15.6640625" customWidth="1"/>
    <col min="3" max="3" width="21.44140625" customWidth="1"/>
    <col min="4" max="4" width="29.44140625" customWidth="1"/>
    <col min="5" max="5" width="23.33203125" customWidth="1"/>
  </cols>
  <sheetData>
    <row r="1" spans="1:5" x14ac:dyDescent="0.3">
      <c r="A1" s="27" t="s">
        <v>150</v>
      </c>
      <c r="B1" s="27"/>
      <c r="C1" s="27"/>
      <c r="D1" s="27"/>
      <c r="E1" s="27"/>
    </row>
    <row r="2" spans="1:5" x14ac:dyDescent="0.3">
      <c r="A2" s="27"/>
      <c r="B2" s="27"/>
      <c r="C2" s="27"/>
      <c r="D2" s="27"/>
      <c r="E2" s="27"/>
    </row>
    <row r="4" spans="1:5" x14ac:dyDescent="0.3">
      <c r="A4" s="7" t="s">
        <v>113</v>
      </c>
      <c r="B4" s="7" t="s">
        <v>109</v>
      </c>
      <c r="C4" s="7" t="s">
        <v>110</v>
      </c>
      <c r="D4" s="7" t="s">
        <v>111</v>
      </c>
      <c r="E4" s="7" t="s">
        <v>112</v>
      </c>
    </row>
    <row r="5" spans="1:5" x14ac:dyDescent="0.3">
      <c r="A5" s="8" t="s">
        <v>114</v>
      </c>
      <c r="B5" s="18">
        <v>34820</v>
      </c>
      <c r="C5" s="8" t="s">
        <v>129</v>
      </c>
      <c r="D5" s="8" t="s">
        <v>139</v>
      </c>
      <c r="E5" s="8">
        <v>45000</v>
      </c>
    </row>
    <row r="6" spans="1:5" x14ac:dyDescent="0.3">
      <c r="A6" s="8" t="s">
        <v>115</v>
      </c>
      <c r="B6" s="18">
        <v>34248</v>
      </c>
      <c r="C6" s="8" t="s">
        <v>130</v>
      </c>
      <c r="D6" s="8" t="s">
        <v>140</v>
      </c>
      <c r="E6" s="8">
        <v>35000</v>
      </c>
    </row>
    <row r="7" spans="1:5" x14ac:dyDescent="0.3">
      <c r="A7" s="8" t="s">
        <v>116</v>
      </c>
      <c r="B7" s="8" t="s">
        <v>124</v>
      </c>
      <c r="C7" s="8" t="s">
        <v>129</v>
      </c>
      <c r="D7" s="8" t="s">
        <v>141</v>
      </c>
      <c r="E7" s="8">
        <v>93200</v>
      </c>
    </row>
    <row r="8" spans="1:5" x14ac:dyDescent="0.3">
      <c r="A8" s="8" t="s">
        <v>117</v>
      </c>
      <c r="B8" s="8" t="s">
        <v>125</v>
      </c>
      <c r="C8" s="8" t="s">
        <v>131</v>
      </c>
      <c r="D8" s="8" t="s">
        <v>142</v>
      </c>
      <c r="E8" s="8">
        <v>30500</v>
      </c>
    </row>
    <row r="9" spans="1:5" x14ac:dyDescent="0.3">
      <c r="A9" s="8" t="s">
        <v>118</v>
      </c>
      <c r="B9" s="8" t="s">
        <v>126</v>
      </c>
      <c r="C9" s="8" t="s">
        <v>132</v>
      </c>
      <c r="D9" s="8" t="s">
        <v>143</v>
      </c>
      <c r="E9" s="8">
        <v>50300</v>
      </c>
    </row>
    <row r="10" spans="1:5" x14ac:dyDescent="0.3">
      <c r="A10" s="8" t="s">
        <v>95</v>
      </c>
      <c r="B10" s="8" t="s">
        <v>127</v>
      </c>
      <c r="C10" s="8" t="s">
        <v>133</v>
      </c>
      <c r="D10" s="8" t="s">
        <v>144</v>
      </c>
      <c r="E10" s="8">
        <v>20000</v>
      </c>
    </row>
    <row r="11" spans="1:5" x14ac:dyDescent="0.3">
      <c r="A11" s="8" t="s">
        <v>119</v>
      </c>
      <c r="B11" s="8" t="s">
        <v>128</v>
      </c>
      <c r="C11" s="8" t="s">
        <v>134</v>
      </c>
      <c r="D11" s="8" t="s">
        <v>145</v>
      </c>
      <c r="E11" s="8">
        <v>45000</v>
      </c>
    </row>
    <row r="12" spans="1:5" x14ac:dyDescent="0.3">
      <c r="A12" s="8" t="s">
        <v>120</v>
      </c>
      <c r="B12" s="18">
        <v>34458</v>
      </c>
      <c r="C12" s="8" t="s">
        <v>135</v>
      </c>
      <c r="D12" s="8" t="s">
        <v>146</v>
      </c>
      <c r="E12" s="8">
        <v>65000</v>
      </c>
    </row>
    <row r="13" spans="1:5" x14ac:dyDescent="0.3">
      <c r="A13" s="8" t="s">
        <v>121</v>
      </c>
      <c r="B13" s="18">
        <v>36013</v>
      </c>
      <c r="C13" s="8" t="s">
        <v>136</v>
      </c>
      <c r="D13" s="8" t="s">
        <v>147</v>
      </c>
      <c r="E13" s="8">
        <v>89300</v>
      </c>
    </row>
    <row r="14" spans="1:5" x14ac:dyDescent="0.3">
      <c r="A14" s="8" t="s">
        <v>122</v>
      </c>
      <c r="B14" s="18">
        <v>33366</v>
      </c>
      <c r="C14" s="8" t="s">
        <v>137</v>
      </c>
      <c r="D14" s="8" t="s">
        <v>148</v>
      </c>
      <c r="E14" s="8">
        <v>69000</v>
      </c>
    </row>
    <row r="15" spans="1:5" x14ac:dyDescent="0.3">
      <c r="A15" s="8" t="s">
        <v>123</v>
      </c>
      <c r="B15" s="18">
        <v>35099</v>
      </c>
      <c r="C15" s="8" t="s">
        <v>138</v>
      </c>
      <c r="D15" s="8" t="s">
        <v>149</v>
      </c>
      <c r="E15" s="8">
        <v>78000</v>
      </c>
    </row>
    <row r="18" spans="1:4" x14ac:dyDescent="0.3">
      <c r="C18" s="7" t="s">
        <v>111</v>
      </c>
      <c r="D18" s="7" t="s">
        <v>113</v>
      </c>
    </row>
    <row r="19" spans="1:4" x14ac:dyDescent="0.3">
      <c r="C19" t="s">
        <v>144</v>
      </c>
      <c r="D19" t="str">
        <f>VLOOKUP(C19,CHOOSE({1,2},D5:D15,A5:A15),2,0)</f>
        <v>Ajay</v>
      </c>
    </row>
    <row r="23" spans="1:4" x14ac:dyDescent="0.3">
      <c r="A23" s="28" t="s">
        <v>151</v>
      </c>
      <c r="B23" s="28"/>
      <c r="C23" s="28"/>
    </row>
  </sheetData>
  <mergeCells count="2">
    <mergeCell ref="A1:E2"/>
    <mergeCell ref="A23:C23"/>
  </mergeCells>
  <dataValidations count="1">
    <dataValidation type="list" allowBlank="1" showInputMessage="1" showErrorMessage="1" sqref="C19" xr:uid="{366DD420-0D7F-4D4D-BD21-9E17F38857E2}">
      <formula1>$D$5:$D$15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AB7E-4527-45A3-BCA5-BF350C1DC359}">
  <dimension ref="A1:B11"/>
  <sheetViews>
    <sheetView workbookViewId="0">
      <selection activeCell="A12" sqref="A12"/>
    </sheetView>
  </sheetViews>
  <sheetFormatPr defaultRowHeight="14.4" x14ac:dyDescent="0.3"/>
  <cols>
    <col min="1" max="1" width="11.21875" customWidth="1"/>
    <col min="2" max="2" width="13.44140625" customWidth="1"/>
  </cols>
  <sheetData>
    <row r="1" spans="1:2" x14ac:dyDescent="0.3">
      <c r="A1" s="19" t="s">
        <v>152</v>
      </c>
      <c r="B1" s="19" t="s">
        <v>153</v>
      </c>
    </row>
    <row r="2" spans="1:2" x14ac:dyDescent="0.3">
      <c r="A2" s="2" t="s">
        <v>154</v>
      </c>
      <c r="B2" s="2" t="s">
        <v>168</v>
      </c>
    </row>
    <row r="3" spans="1:2" x14ac:dyDescent="0.3">
      <c r="A3" s="2" t="s">
        <v>155</v>
      </c>
      <c r="B3" s="2" t="s">
        <v>169</v>
      </c>
    </row>
    <row r="4" spans="1:2" x14ac:dyDescent="0.3">
      <c r="A4" s="2" t="s">
        <v>156</v>
      </c>
      <c r="B4" s="2" t="s">
        <v>170</v>
      </c>
    </row>
    <row r="5" spans="1:2" x14ac:dyDescent="0.3">
      <c r="A5" s="2" t="s">
        <v>157</v>
      </c>
      <c r="B5" s="2" t="s">
        <v>171</v>
      </c>
    </row>
    <row r="6" spans="1:2" x14ac:dyDescent="0.3">
      <c r="A6" s="2" t="s">
        <v>158</v>
      </c>
      <c r="B6" s="2" t="s">
        <v>172</v>
      </c>
    </row>
    <row r="7" spans="1:2" x14ac:dyDescent="0.3">
      <c r="A7" s="2" t="s">
        <v>159</v>
      </c>
      <c r="B7" s="2" t="s">
        <v>173</v>
      </c>
    </row>
    <row r="8" spans="1:2" x14ac:dyDescent="0.3">
      <c r="A8" s="2" t="s">
        <v>160</v>
      </c>
      <c r="B8" s="2" t="s">
        <v>174</v>
      </c>
    </row>
    <row r="9" spans="1:2" x14ac:dyDescent="0.3">
      <c r="A9" s="2" t="s">
        <v>161</v>
      </c>
      <c r="B9" s="2" t="s">
        <v>175</v>
      </c>
    </row>
    <row r="11" spans="1:2" x14ac:dyDescent="0.3">
      <c r="A11" t="str">
        <f>VLOOKUP(A3,Data!A2:B17,2,0)</f>
        <v>PENCIL</v>
      </c>
    </row>
  </sheetData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F994-60FE-4C21-BDD7-8C4E57F11163}">
  <dimension ref="A1:B17"/>
  <sheetViews>
    <sheetView workbookViewId="0">
      <selection activeCell="H18" sqref="H18"/>
    </sheetView>
  </sheetViews>
  <sheetFormatPr defaultRowHeight="14.4" x14ac:dyDescent="0.3"/>
  <cols>
    <col min="1" max="1" width="12.6640625" customWidth="1"/>
    <col min="2" max="2" width="15.5546875" customWidth="1"/>
  </cols>
  <sheetData>
    <row r="1" spans="1:2" x14ac:dyDescent="0.3">
      <c r="A1" s="19" t="s">
        <v>152</v>
      </c>
      <c r="B1" s="19" t="s">
        <v>153</v>
      </c>
    </row>
    <row r="2" spans="1:2" x14ac:dyDescent="0.3">
      <c r="A2" s="2" t="s">
        <v>154</v>
      </c>
      <c r="B2" s="2" t="s">
        <v>168</v>
      </c>
    </row>
    <row r="3" spans="1:2" x14ac:dyDescent="0.3">
      <c r="A3" s="2" t="s">
        <v>155</v>
      </c>
      <c r="B3" s="2" t="s">
        <v>169</v>
      </c>
    </row>
    <row r="4" spans="1:2" x14ac:dyDescent="0.3">
      <c r="A4" s="2" t="s">
        <v>156</v>
      </c>
      <c r="B4" s="2" t="s">
        <v>170</v>
      </c>
    </row>
    <row r="5" spans="1:2" x14ac:dyDescent="0.3">
      <c r="A5" s="2" t="s">
        <v>157</v>
      </c>
      <c r="B5" s="2" t="s">
        <v>171</v>
      </c>
    </row>
    <row r="6" spans="1:2" x14ac:dyDescent="0.3">
      <c r="A6" s="2" t="s">
        <v>158</v>
      </c>
      <c r="B6" s="2" t="s">
        <v>172</v>
      </c>
    </row>
    <row r="7" spans="1:2" x14ac:dyDescent="0.3">
      <c r="A7" s="2" t="s">
        <v>159</v>
      </c>
      <c r="B7" s="2" t="s">
        <v>173</v>
      </c>
    </row>
    <row r="8" spans="1:2" x14ac:dyDescent="0.3">
      <c r="A8" s="2" t="s">
        <v>160</v>
      </c>
      <c r="B8" s="2" t="s">
        <v>174</v>
      </c>
    </row>
    <row r="9" spans="1:2" x14ac:dyDescent="0.3">
      <c r="A9" s="2" t="s">
        <v>161</v>
      </c>
      <c r="B9" s="2" t="s">
        <v>175</v>
      </c>
    </row>
    <row r="10" spans="1:2" x14ac:dyDescent="0.3">
      <c r="A10" s="2" t="s">
        <v>162</v>
      </c>
      <c r="B10" s="21" t="s">
        <v>180</v>
      </c>
    </row>
    <row r="11" spans="1:2" x14ac:dyDescent="0.3">
      <c r="A11" s="2" t="s">
        <v>163</v>
      </c>
      <c r="B11" s="21" t="s">
        <v>181</v>
      </c>
    </row>
    <row r="12" spans="1:2" x14ac:dyDescent="0.3">
      <c r="A12" s="2" t="s">
        <v>164</v>
      </c>
      <c r="B12" s="21" t="s">
        <v>182</v>
      </c>
    </row>
    <row r="13" spans="1:2" x14ac:dyDescent="0.3">
      <c r="A13" s="2" t="s">
        <v>165</v>
      </c>
      <c r="B13" s="21" t="s">
        <v>183</v>
      </c>
    </row>
    <row r="14" spans="1:2" x14ac:dyDescent="0.3">
      <c r="A14" s="2" t="s">
        <v>166</v>
      </c>
      <c r="B14" s="21" t="s">
        <v>184</v>
      </c>
    </row>
    <row r="15" spans="1:2" x14ac:dyDescent="0.3">
      <c r="A15" s="2" t="s">
        <v>167</v>
      </c>
      <c r="B15" s="21" t="s">
        <v>185</v>
      </c>
    </row>
    <row r="16" spans="1:2" x14ac:dyDescent="0.3">
      <c r="A16" s="2" t="s">
        <v>178</v>
      </c>
      <c r="B16" s="21" t="s">
        <v>186</v>
      </c>
    </row>
    <row r="17" spans="1:2" x14ac:dyDescent="0.3">
      <c r="A17" s="2" t="s">
        <v>179</v>
      </c>
      <c r="B17" s="21" t="s">
        <v>187</v>
      </c>
    </row>
  </sheetData>
  <phoneticPr fontId="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C99C-6400-4DA1-B436-FD86D18289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Nested Vlookup</vt:lpstr>
      <vt:lpstr>Vlookup With Multiple Columns</vt:lpstr>
      <vt:lpstr>Vlookup With If</vt:lpstr>
      <vt:lpstr>Vlookup With Match</vt:lpstr>
      <vt:lpstr>Vlookup With Index</vt:lpstr>
      <vt:lpstr>Vlookup With Multiple Sheet</vt:lpstr>
      <vt:lpstr>Switch Function</vt:lpstr>
      <vt:lpstr>Vlookup</vt:lpstr>
      <vt:lpstr>Jan</vt:lpstr>
      <vt:lpstr>Feb</vt:lpstr>
      <vt:lpstr>Mar</vt:lpstr>
      <vt:lpstr>Apr</vt:lpstr>
      <vt:lpstr>May</vt:lpstr>
      <vt:lpstr>Jun</vt:lpstr>
      <vt:lpstr>Jul</vt:lpstr>
      <vt:lpstr>Vlookup With IFERROR</vt:lpstr>
      <vt:lpstr>Vlookup With Choose</vt:lpstr>
      <vt:lpstr>Vlookup With Another Sheet</vt:lpstr>
      <vt:lpstr>Data</vt:lpstr>
      <vt:lpstr>Vlookup With Concatenate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2025-08-02T10:20:06Z</dcterms:created>
  <dcterms:modified xsi:type="dcterms:W3CDTF">2025-08-08T07:33:27Z</dcterms:modified>
</cp:coreProperties>
</file>