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8_{F7DA57B0-31CF-4262-BDF9-EB32A76094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1" l="1"/>
  <c r="E33" i="1"/>
  <c r="E29" i="1"/>
  <c r="G24" i="1" a="1"/>
  <c r="G24" i="1" s="1"/>
  <c r="F28" i="1"/>
  <c r="F25" i="1"/>
  <c r="F26" i="1"/>
  <c r="F27" i="1"/>
  <c r="F24" i="1"/>
  <c r="K17" i="1" a="1"/>
  <c r="K17" i="1" s="1"/>
  <c r="H18" i="1" a="1"/>
  <c r="H18" i="1" s="1"/>
  <c r="H17" i="1"/>
  <c r="G47" i="1"/>
  <c r="F47" i="1" a="1"/>
  <c r="F47" i="1"/>
  <c r="F43" i="1"/>
  <c r="E31" i="1"/>
  <c r="I23" i="1"/>
  <c r="K18" i="1" a="1"/>
  <c r="K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<sst xmlns="http://schemas.openxmlformats.org/spreadsheetml/2006/main" count="49" uniqueCount="36">
  <si>
    <t>Xlookup+Sum</t>
  </si>
  <si>
    <t>Sum Filter</t>
  </si>
  <si>
    <t>Product</t>
  </si>
  <si>
    <t>Region</t>
  </si>
  <si>
    <t>Sales</t>
  </si>
  <si>
    <t>Apple</t>
  </si>
  <si>
    <t>East</t>
  </si>
  <si>
    <t>Orange</t>
  </si>
  <si>
    <t>West</t>
  </si>
  <si>
    <t>Q.</t>
  </si>
  <si>
    <t>Sum of sales of Apple(both regions)</t>
  </si>
  <si>
    <t>Apple and Orange</t>
  </si>
  <si>
    <t>Xlookup+sumproduct</t>
  </si>
  <si>
    <t>simple sumproduct</t>
  </si>
  <si>
    <t>Price</t>
  </si>
  <si>
    <t>Quantity</t>
  </si>
  <si>
    <t>Banana</t>
  </si>
  <si>
    <t>Lichi</t>
  </si>
  <si>
    <t>Xlookup+max</t>
  </si>
  <si>
    <t>Xlookup+min</t>
  </si>
  <si>
    <t>xlookup+avgerange</t>
  </si>
  <si>
    <t>xlookup+if</t>
  </si>
  <si>
    <t>Name</t>
  </si>
  <si>
    <t>Department</t>
  </si>
  <si>
    <t>Salary</t>
  </si>
  <si>
    <t>John</t>
  </si>
  <si>
    <t>Mary</t>
  </si>
  <si>
    <t>Finance</t>
  </si>
  <si>
    <t>Alex</t>
  </si>
  <si>
    <t>Sara</t>
  </si>
  <si>
    <t>IT</t>
  </si>
  <si>
    <t>What is Jonhs salary</t>
  </si>
  <si>
    <t>sumfilter</t>
  </si>
  <si>
    <t>xlookup sum</t>
  </si>
  <si>
    <t>What is total salary for sales depatment</t>
  </si>
  <si>
    <t>Return johns salary only if he is in sales otherwise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</si>
</sst>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L51"/>
  <sheetViews>
    <sheetView tabSelected="1" topLeftCell="B35" zoomScaleNormal="100" workbookViewId="0">
      <selection activeCell="F52" sqref="F52"/>
    </sheetView>
  </sheetViews>
  <sheetFormatPr defaultRowHeight="14.4" x14ac:dyDescent="0.3"/>
  <cols>
    <col min="3" max="3" width="10.5546875" bestFit="1" customWidth="1"/>
    <col min="4" max="4" width="14.44140625" customWidth="1"/>
    <col min="5" max="6" width="36.5546875" bestFit="1" customWidth="1"/>
    <col min="7" max="7" width="12.88671875" customWidth="1"/>
    <col min="8" max="8" width="36.5546875" bestFit="1" customWidth="1"/>
    <col min="9" max="9" width="17.44140625" bestFit="1" customWidth="1"/>
    <col min="11" max="11" width="9.5546875" bestFit="1" customWidth="1"/>
  </cols>
  <sheetData>
    <row r="9" spans="2:12" ht="19.5" customHeight="1" x14ac:dyDescent="0.3">
      <c r="B9">
        <v>1</v>
      </c>
      <c r="D9" s="8" t="s">
        <v>0</v>
      </c>
      <c r="E9" s="8"/>
      <c r="F9" s="8"/>
      <c r="K9" s="7" t="s">
        <v>1</v>
      </c>
      <c r="L9" s="7"/>
    </row>
    <row r="11" spans="2:12" x14ac:dyDescent="0.3">
      <c r="D11" s="2" t="s">
        <v>2</v>
      </c>
      <c r="E11" s="2" t="s">
        <v>3</v>
      </c>
      <c r="F11" s="2" t="s">
        <v>4</v>
      </c>
    </row>
    <row r="12" spans="2:12" x14ac:dyDescent="0.3">
      <c r="D12" s="1" t="s">
        <v>5</v>
      </c>
      <c r="E12" s="1" t="s">
        <v>6</v>
      </c>
      <c r="F12" s="1">
        <v>120</v>
      </c>
    </row>
    <row r="13" spans="2:12" x14ac:dyDescent="0.3">
      <c r="D13" s="1" t="s">
        <v>7</v>
      </c>
      <c r="E13" s="1" t="s">
        <v>6</v>
      </c>
      <c r="F13" s="1">
        <v>150</v>
      </c>
    </row>
    <row r="14" spans="2:12" x14ac:dyDescent="0.3">
      <c r="D14" s="1" t="s">
        <v>5</v>
      </c>
      <c r="E14" s="1" t="s">
        <v>8</v>
      </c>
      <c r="F14" s="1">
        <v>200</v>
      </c>
    </row>
    <row r="15" spans="2:12" x14ac:dyDescent="0.3">
      <c r="D15" s="1" t="s">
        <v>7</v>
      </c>
      <c r="E15" s="1" t="s">
        <v>8</v>
      </c>
      <c r="F15" s="1">
        <v>180</v>
      </c>
    </row>
    <row r="17" spans="2:11" x14ac:dyDescent="0.3">
      <c r="C17" t="s">
        <v>9</v>
      </c>
      <c r="D17" s="7" t="s">
        <v>10</v>
      </c>
      <c r="E17" s="7"/>
      <c r="F17" s="7"/>
      <c r="G17" t="s">
        <v>5</v>
      </c>
      <c r="H17" s="3">
        <f>SUM(_xlfn.XLOOKUP(G17,D12:D15,F12:F15))</f>
        <v>120</v>
      </c>
      <c r="K17" cm="1">
        <f t="array" ref="K17">SUM(_xlfn._xlws.FILTER(F12:F15,D12:D15="Apple"))</f>
        <v>320</v>
      </c>
    </row>
    <row r="18" spans="2:11" ht="28.8" x14ac:dyDescent="0.3">
      <c r="G18" s="3" t="s">
        <v>11</v>
      </c>
      <c r="H18" cm="1">
        <f t="array" ref="H18">SUM(_xlfn.XLOOKUP({"Apple","Orange"},D12:D15,F12:F15))</f>
        <v>270</v>
      </c>
      <c r="K18" cm="1">
        <f t="array" ref="K18">SUM(_xlfn._xlws.FILTER(F12:F15,D12:D15="Orange"))</f>
        <v>330</v>
      </c>
    </row>
    <row r="21" spans="2:11" ht="27.75" customHeight="1" x14ac:dyDescent="0.3">
      <c r="B21">
        <v>2</v>
      </c>
      <c r="D21" s="9" t="s">
        <v>12</v>
      </c>
      <c r="E21" s="9"/>
      <c r="I21" t="s">
        <v>13</v>
      </c>
    </row>
    <row r="23" spans="2:11" x14ac:dyDescent="0.3">
      <c r="C23" t="s">
        <v>2</v>
      </c>
      <c r="D23" t="s">
        <v>14</v>
      </c>
      <c r="E23" t="s">
        <v>15</v>
      </c>
      <c r="I23">
        <f>SUMPRODUCT(D24:D27,E24:E27)</f>
        <v>191</v>
      </c>
    </row>
    <row r="24" spans="2:11" ht="43.2" x14ac:dyDescent="0.3">
      <c r="C24" t="s">
        <v>5</v>
      </c>
      <c r="D24">
        <v>12</v>
      </c>
      <c r="E24">
        <v>3</v>
      </c>
      <c r="F24">
        <f>PRODUCT(D24,E24)</f>
        <v>36</v>
      </c>
      <c r="G24" s="3" cm="1">
        <f t="array" ref="G24:G27">_xlfn.XLOOKUP(C24:C27,C24:C27,D24:D27)</f>
        <v>12</v>
      </c>
    </row>
    <row r="25" spans="2:11" x14ac:dyDescent="0.3">
      <c r="C25" t="s">
        <v>7</v>
      </c>
      <c r="D25">
        <v>15</v>
      </c>
      <c r="E25">
        <v>5</v>
      </c>
      <c r="F25">
        <f t="shared" ref="F25:F27" si="0">PRODUCT(D25,E25)</f>
        <v>75</v>
      </c>
      <c r="G25">
        <v>15</v>
      </c>
    </row>
    <row r="26" spans="2:11" x14ac:dyDescent="0.3">
      <c r="C26" t="s">
        <v>16</v>
      </c>
      <c r="D26">
        <v>25</v>
      </c>
      <c r="E26">
        <v>2</v>
      </c>
      <c r="F26">
        <f t="shared" si="0"/>
        <v>50</v>
      </c>
      <c r="G26">
        <v>25</v>
      </c>
    </row>
    <row r="27" spans="2:11" x14ac:dyDescent="0.3">
      <c r="C27" t="s">
        <v>17</v>
      </c>
      <c r="D27">
        <v>30</v>
      </c>
      <c r="E27">
        <v>1</v>
      </c>
      <c r="F27">
        <f t="shared" si="0"/>
        <v>30</v>
      </c>
      <c r="G27">
        <v>30</v>
      </c>
    </row>
    <row r="28" spans="2:11" x14ac:dyDescent="0.3">
      <c r="F28">
        <f>SUM(F24:F27)</f>
        <v>191</v>
      </c>
    </row>
    <row r="29" spans="2:11" x14ac:dyDescent="0.3">
      <c r="B29">
        <v>3</v>
      </c>
      <c r="D29" s="4" t="s">
        <v>18</v>
      </c>
      <c r="E29" t="str">
        <f>_xlfn.XLOOKUP(MAX(D24:D27),D24:D27,C24:C27)</f>
        <v>Lichi</v>
      </c>
    </row>
    <row r="31" spans="2:11" x14ac:dyDescent="0.3">
      <c r="B31">
        <v>4</v>
      </c>
      <c r="D31" s="5" t="s">
        <v>19</v>
      </c>
      <c r="E31" s="3" t="str">
        <f>_xlfn.XLOOKUP(MIN(D24:D27),D24:D27,C24:C27)</f>
        <v>Apple</v>
      </c>
    </row>
    <row r="32" spans="2:11" x14ac:dyDescent="0.3">
      <c r="E32" s="3"/>
    </row>
    <row r="33" spans="2:7" ht="28.8" x14ac:dyDescent="0.3">
      <c r="B33">
        <v>5</v>
      </c>
      <c r="D33" s="6" t="s">
        <v>20</v>
      </c>
      <c r="E33">
        <f>_xlfn.XLOOKUP(C24,C24:C27,D24:D27)+AVERAGE(D24:D27)</f>
        <v>32.5</v>
      </c>
    </row>
    <row r="35" spans="2:7" x14ac:dyDescent="0.3">
      <c r="B35">
        <v>6</v>
      </c>
      <c r="D35" s="10" t="s">
        <v>21</v>
      </c>
      <c r="E35" s="10"/>
    </row>
    <row r="37" spans="2:7" x14ac:dyDescent="0.3">
      <c r="D37" s="2" t="s">
        <v>22</v>
      </c>
      <c r="E37" s="2" t="s">
        <v>23</v>
      </c>
      <c r="F37" s="2" t="s">
        <v>24</v>
      </c>
    </row>
    <row r="38" spans="2:7" x14ac:dyDescent="0.3">
      <c r="D38" s="1" t="s">
        <v>25</v>
      </c>
      <c r="E38" s="1" t="s">
        <v>4</v>
      </c>
      <c r="F38" s="1">
        <v>4000</v>
      </c>
    </row>
    <row r="39" spans="2:7" x14ac:dyDescent="0.3">
      <c r="D39" s="1" t="s">
        <v>26</v>
      </c>
      <c r="E39" s="1" t="s">
        <v>27</v>
      </c>
      <c r="F39" s="1">
        <v>5000</v>
      </c>
    </row>
    <row r="40" spans="2:7" x14ac:dyDescent="0.3">
      <c r="D40" s="1" t="s">
        <v>28</v>
      </c>
      <c r="E40" s="1" t="s">
        <v>4</v>
      </c>
      <c r="F40" s="1">
        <v>4500</v>
      </c>
    </row>
    <row r="41" spans="2:7" x14ac:dyDescent="0.3">
      <c r="D41" s="1" t="s">
        <v>29</v>
      </c>
      <c r="E41" s="1" t="s">
        <v>30</v>
      </c>
      <c r="F41" s="1">
        <v>4800</v>
      </c>
    </row>
    <row r="43" spans="2:7" x14ac:dyDescent="0.3">
      <c r="D43" t="s">
        <v>9</v>
      </c>
      <c r="E43" t="s">
        <v>31</v>
      </c>
      <c r="F43">
        <f>_xlfn.XLOOKUP(D38,D38:D41,F38:F41,0)</f>
        <v>4000</v>
      </c>
    </row>
    <row r="46" spans="2:7" x14ac:dyDescent="0.3">
      <c r="F46" t="s">
        <v>32</v>
      </c>
      <c r="G46" t="s">
        <v>33</v>
      </c>
    </row>
    <row r="47" spans="2:7" x14ac:dyDescent="0.3">
      <c r="D47" t="s">
        <v>9</v>
      </c>
      <c r="E47" t="s">
        <v>34</v>
      </c>
      <c r="F47" cm="1">
        <f t="array" ref="F47">SUM(_xlfn._xlws.FILTER(F38:F41,E38:E41="sales"))</f>
        <v>8500</v>
      </c>
      <c r="G47">
        <f>SUM(_xlfn.XLOOKUP(E38,E38:E41,F38:F41))</f>
        <v>4000</v>
      </c>
    </row>
    <row r="51" spans="4:6" ht="28.8" x14ac:dyDescent="0.3">
      <c r="D51" t="s">
        <v>9</v>
      </c>
      <c r="E51" s="3" t="s">
        <v>35</v>
      </c>
      <c r="F51" s="3">
        <f>IF(_xlfn.XLOOKUP("John",D38:D41,E38:E41)="Sales",_xlfn.XLOOKUP("John",D38:D41,F38:F41,0))</f>
        <v>4000</v>
      </c>
    </row>
  </sheetData>
  <mergeCells count="5">
    <mergeCell ref="D17:F17"/>
    <mergeCell ref="D9:F9"/>
    <mergeCell ref="K9:L9"/>
    <mergeCell ref="D21:E21"/>
    <mergeCell ref="D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 PA</dc:creator>
  <cp:keywords/>
  <dc:description/>
  <cp:lastModifiedBy>Ashwin Panbude</cp:lastModifiedBy>
  <cp:revision/>
  <dcterms:created xsi:type="dcterms:W3CDTF">2025-09-11T07:01:54Z</dcterms:created>
  <dcterms:modified xsi:type="dcterms:W3CDTF">2025-09-11T14:40:57Z</dcterms:modified>
  <cp:category/>
  <cp:contentStatus/>
</cp:coreProperties>
</file>